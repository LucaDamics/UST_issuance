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222"/>
  <workbookPr filterPrivacy="1" codeName="ThisWorkbook" defaultThemeVersion="124226"/>
  <xr:revisionPtr revIDLastSave="0" documentId="8_{9C3971F5-8A0C-1E48-803A-F6B2EA280543}" xr6:coauthVersionLast="47" xr6:coauthVersionMax="47" xr10:uidLastSave="{00000000-0000-0000-0000-000000000000}"/>
  <bookViews>
    <workbookView xWindow="0" yWindow="760" windowWidth="29040" windowHeight="15720" xr2:uid="{00000000-000D-0000-FFFF-FFFF00000000}"/>
  </bookViews>
  <sheets>
    <sheet name="Contents" sheetId="138" r:id="rId1"/>
    <sheet name="1. Revenue Projections" sheetId="133" r:id="rId2"/>
    <sheet name="2. Baseline Changes" sheetId="109" r:id="rId3"/>
    <sheet name="3.Individual Income Tax Details" sheetId="148" r:id="rId4"/>
    <sheet name="4. Payroll Tax Revenues" sheetId="149" r:id="rId5"/>
    <sheet name="5. Excise Tax Revenues" sheetId="141" r:id="rId6"/>
    <sheet name="6. Capital Gains Realizations" sheetId="150" r:id="rId7"/>
    <sheet name="7a. Legislation (Dollars)" sheetId="153" r:id="rId8"/>
    <sheet name="7b. Legislation (Pct of GDP)" sheetId="154" r:id="rId9"/>
    <sheet name="8. Corporate Profits" sheetId="151"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 i="138" l="1"/>
  <c r="A16" i="138"/>
  <c r="A15" i="138"/>
  <c r="A10" i="138" l="1"/>
  <c r="A17" i="138" l="1"/>
  <c r="A11" i="138"/>
  <c r="A13" i="138"/>
  <c r="A12" i="138"/>
  <c r="A8" i="138" l="1"/>
</calcChain>
</file>

<file path=xl/sharedStrings.xml><?xml version="1.0" encoding="utf-8"?>
<sst xmlns="http://schemas.openxmlformats.org/spreadsheetml/2006/main" count="605" uniqueCount="312">
  <si>
    <t>Contents</t>
  </si>
  <si>
    <t>7. Legislation Enacted From 1982 to 2025 That Has a Significant Impact on Revenues</t>
  </si>
  <si>
    <t>1. CBO's Baseline Projections of Revenues</t>
  </si>
  <si>
    <t>Billions of dollars</t>
  </si>
  <si>
    <t>Total</t>
  </si>
  <si>
    <t>Fiscal year</t>
  </si>
  <si>
    <t>Actual,
2025</t>
  </si>
  <si>
    <t>2027–
2031</t>
  </si>
  <si>
    <t>2027–
2036</t>
  </si>
  <si>
    <t>Individual income taxes</t>
  </si>
  <si>
    <t>Payroll taxes</t>
  </si>
  <si>
    <t>Corporate income taxes</t>
  </si>
  <si>
    <t>Customs duties</t>
  </si>
  <si>
    <t xml:space="preserve">Other </t>
  </si>
  <si>
    <t>Excise taxes</t>
  </si>
  <si>
    <t>Federal Reserve remittances</t>
  </si>
  <si>
    <t>Estate and gift taxes</t>
  </si>
  <si>
    <t>Miscellaneous fees and fines</t>
  </si>
  <si>
    <t>Subtotal</t>
  </si>
  <si>
    <t>On-budget</t>
  </si>
  <si>
    <t>Addendum:</t>
  </si>
  <si>
    <t xml:space="preserve">Gross domestic product </t>
  </si>
  <si>
    <t xml:space="preserve">Gross domestic income </t>
  </si>
  <si>
    <t>As a percentage of gross domestic product</t>
  </si>
  <si>
    <t>Data source: Congressional Budget Office.</t>
  </si>
  <si>
    <t>Back to Table of Contents</t>
  </si>
  <si>
    <t>2. Changes in CBO’s Baseline Projections of Revenues Since January 2025</t>
  </si>
  <si>
    <t>2026–
2030</t>
  </si>
  <si>
    <t>2026–
2035</t>
  </si>
  <si>
    <t>Legislative changes</t>
  </si>
  <si>
    <t>Economic changes</t>
  </si>
  <si>
    <t>Technical changes</t>
  </si>
  <si>
    <t>Total revenue changes</t>
  </si>
  <si>
    <t>3. Detailed Individual Income Tax Projections in CBO's February 2026 Baseline</t>
  </si>
  <si>
    <t xml:space="preserve">Actual </t>
  </si>
  <si>
    <t>Projected</t>
  </si>
  <si>
    <t>Calendar year</t>
  </si>
  <si>
    <t>Calculation of adjusted gross income (AGI)</t>
  </si>
  <si>
    <t>Salaries and wages</t>
  </si>
  <si>
    <t>Taxable interest and ordinary dividends (excludes qualified dividends)</t>
  </si>
  <si>
    <t xml:space="preserve">Qualified dividends                                         </t>
  </si>
  <si>
    <r>
      <t>Capital gain or loss</t>
    </r>
    <r>
      <rPr>
        <vertAlign val="superscript"/>
        <sz val="11"/>
        <rFont val="Arial"/>
        <family val="2"/>
      </rPr>
      <t>a</t>
    </r>
  </si>
  <si>
    <r>
      <t>Net business income (all income and loss reported on Schedules C, E, and F)</t>
    </r>
    <r>
      <rPr>
        <vertAlign val="superscript"/>
        <sz val="11"/>
        <rFont val="Arial"/>
        <family val="2"/>
      </rPr>
      <t>b</t>
    </r>
  </si>
  <si>
    <t>Taxable pensions and annuities and IRA distributions</t>
  </si>
  <si>
    <t xml:space="preserve">Taxable Social Security benefits        </t>
  </si>
  <si>
    <r>
      <t>All other sources of income</t>
    </r>
    <r>
      <rPr>
        <vertAlign val="superscript"/>
        <sz val="11"/>
        <rFont val="Arial"/>
        <family val="2"/>
      </rPr>
      <t>c</t>
    </r>
  </si>
  <si>
    <t>Total income</t>
  </si>
  <si>
    <r>
      <rPr>
        <i/>
        <sz val="11"/>
        <rFont val="Arial"/>
        <family val="2"/>
      </rPr>
      <t>Subtract</t>
    </r>
    <r>
      <rPr>
        <sz val="11"/>
        <rFont val="Arial"/>
        <family val="2"/>
      </rPr>
      <t xml:space="preserve"> statutory adjustments                       </t>
    </r>
  </si>
  <si>
    <t xml:space="preserve">Adjusted gross income               </t>
  </si>
  <si>
    <t>Calculation of taxable income</t>
  </si>
  <si>
    <r>
      <rPr>
        <i/>
        <sz val="11"/>
        <rFont val="Arial"/>
        <family val="2"/>
      </rPr>
      <t>Subtract</t>
    </r>
    <r>
      <rPr>
        <sz val="11"/>
        <rFont val="Arial"/>
        <family val="2"/>
      </rPr>
      <t xml:space="preserve"> personal exemption amount (after limit)</t>
    </r>
  </si>
  <si>
    <r>
      <rPr>
        <i/>
        <sz val="11"/>
        <rFont val="Arial"/>
        <family val="2"/>
      </rPr>
      <t>Subtract</t>
    </r>
    <r>
      <rPr>
        <sz val="11"/>
        <rFont val="Arial"/>
        <family val="2"/>
      </rPr>
      <t xml:space="preserve"> standard deduction (non-itemizers only)</t>
    </r>
  </si>
  <si>
    <r>
      <rPr>
        <i/>
        <sz val="11"/>
        <rFont val="Arial"/>
        <family val="2"/>
      </rPr>
      <t xml:space="preserve">Subtract </t>
    </r>
    <r>
      <rPr>
        <sz val="11"/>
        <rFont val="Arial"/>
        <family val="2"/>
      </rPr>
      <t>total itemized deductions (itemizers only) after limits</t>
    </r>
    <r>
      <rPr>
        <vertAlign val="superscript"/>
        <sz val="11"/>
        <rFont val="Arial"/>
        <family val="2"/>
      </rPr>
      <t>d</t>
    </r>
  </si>
  <si>
    <r>
      <rPr>
        <i/>
        <sz val="11"/>
        <rFont val="Arial"/>
        <family val="2"/>
      </rPr>
      <t>Subtract</t>
    </r>
    <r>
      <rPr>
        <sz val="11"/>
        <rFont val="Arial"/>
        <family val="2"/>
      </rPr>
      <t xml:space="preserve"> qualified business income deduction</t>
    </r>
  </si>
  <si>
    <r>
      <rPr>
        <i/>
        <sz val="11"/>
        <rFont val="Arial"/>
        <family val="2"/>
      </rPr>
      <t>Subtract</t>
    </r>
    <r>
      <rPr>
        <sz val="11"/>
        <rFont val="Arial"/>
        <family val="2"/>
      </rPr>
      <t xml:space="preserve"> additional deductions</t>
    </r>
    <r>
      <rPr>
        <vertAlign val="superscript"/>
        <sz val="11"/>
        <rFont val="Arial"/>
        <family val="2"/>
      </rPr>
      <t>e</t>
    </r>
  </si>
  <si>
    <r>
      <t>Total exemptions and deductions after limits</t>
    </r>
    <r>
      <rPr>
        <vertAlign val="superscript"/>
        <sz val="11"/>
        <rFont val="Arial"/>
        <family val="2"/>
      </rPr>
      <t>f</t>
    </r>
  </si>
  <si>
    <r>
      <t>Taxable income</t>
    </r>
    <r>
      <rPr>
        <vertAlign val="superscript"/>
        <sz val="11"/>
        <rFont val="Arial"/>
        <family val="2"/>
      </rPr>
      <t>g</t>
    </r>
  </si>
  <si>
    <r>
      <t>Taxable income—taxed at ordinary rates (before AMT)</t>
    </r>
    <r>
      <rPr>
        <vertAlign val="superscript"/>
        <sz val="11"/>
        <rFont val="Arial"/>
        <family val="2"/>
      </rPr>
      <t>h</t>
    </r>
  </si>
  <si>
    <t>Taxable income in bracket 1</t>
  </si>
  <si>
    <t xml:space="preserve"> in bracket 2</t>
  </si>
  <si>
    <t xml:space="preserve"> in bracket 3</t>
  </si>
  <si>
    <t xml:space="preserve"> in bracket 4</t>
  </si>
  <si>
    <t xml:space="preserve"> in bracket 5</t>
  </si>
  <si>
    <t xml:space="preserve"> in bracket 6</t>
  </si>
  <si>
    <t xml:space="preserve"> in bracket 7</t>
  </si>
  <si>
    <t>Taxable income—taxed at reduced rates for capital gains and dividends</t>
  </si>
  <si>
    <t>Calculation of income tax liability</t>
  </si>
  <si>
    <t>Total income tax (including AMT) before credits</t>
  </si>
  <si>
    <r>
      <t>Tax from taxable income and taxed at ordinary rates</t>
    </r>
    <r>
      <rPr>
        <vertAlign val="superscript"/>
        <sz val="11"/>
        <rFont val="Arial"/>
        <family val="2"/>
      </rPr>
      <t>i</t>
    </r>
  </si>
  <si>
    <t>Tax from bracket 1</t>
  </si>
  <si>
    <t>from bracket 2</t>
  </si>
  <si>
    <t>from bracket 3</t>
  </si>
  <si>
    <t>from bracket 4</t>
  </si>
  <si>
    <t>from bracket 5</t>
  </si>
  <si>
    <t>from bracket 6</t>
  </si>
  <si>
    <t>from bracket 7</t>
  </si>
  <si>
    <t>Tax from taxable income and taxed at reduced rates for capital gains and dividends</t>
  </si>
  <si>
    <t>Tax from AMT (including credits limited under the regular tax)</t>
  </si>
  <si>
    <r>
      <t>Total credits (refundable and nonrefundable) </t>
    </r>
    <r>
      <rPr>
        <vertAlign val="superscript"/>
        <sz val="11"/>
        <rFont val="Arial"/>
        <family val="2"/>
      </rPr>
      <t>j</t>
    </r>
  </si>
  <si>
    <r>
      <t>Income tax after credits</t>
    </r>
    <r>
      <rPr>
        <vertAlign val="superscript"/>
        <sz val="11"/>
        <rFont val="Arial"/>
        <family val="2"/>
      </rPr>
      <t>k</t>
    </r>
  </si>
  <si>
    <t>Net investment income tax</t>
  </si>
  <si>
    <t>Individual income tax liability</t>
  </si>
  <si>
    <r>
      <t>Number of returns (millions)</t>
    </r>
    <r>
      <rPr>
        <vertAlign val="superscript"/>
        <sz val="11"/>
        <rFont val="Arial"/>
        <family val="2"/>
      </rPr>
      <t>l</t>
    </r>
  </si>
  <si>
    <t>Number with itemized deductions</t>
  </si>
  <si>
    <r>
      <t>Number affected by the AMT</t>
    </r>
    <r>
      <rPr>
        <vertAlign val="superscript"/>
        <sz val="11"/>
        <rFont val="Arial"/>
        <family val="2"/>
      </rPr>
      <t>m</t>
    </r>
  </si>
  <si>
    <r>
      <t>Individual income tax receipts (billions of dollars, fiscal year)</t>
    </r>
    <r>
      <rPr>
        <vertAlign val="superscript"/>
        <sz val="11"/>
        <rFont val="Arial"/>
        <family val="2"/>
      </rPr>
      <t>n</t>
    </r>
  </si>
  <si>
    <r>
      <t>Earned income tax credit</t>
    </r>
    <r>
      <rPr>
        <vertAlign val="superscript"/>
        <sz val="11"/>
        <rFont val="Arial"/>
        <family val="2"/>
      </rPr>
      <t>o</t>
    </r>
  </si>
  <si>
    <r>
      <t>Child tax credit/credit for other dependents</t>
    </r>
    <r>
      <rPr>
        <vertAlign val="superscript"/>
        <sz val="11"/>
        <rFont val="Arial"/>
        <family val="2"/>
      </rPr>
      <t>o</t>
    </r>
  </si>
  <si>
    <r>
      <t>Shares of AGI by income group (percent)</t>
    </r>
    <r>
      <rPr>
        <b/>
        <vertAlign val="superscript"/>
        <sz val="11"/>
        <color theme="1"/>
        <rFont val="Arial"/>
        <family val="2"/>
      </rPr>
      <t>p</t>
    </r>
  </si>
  <si>
    <t>Top 1 percent</t>
  </si>
  <si>
    <t>Top 5 percent</t>
  </si>
  <si>
    <t>Top 10 percent</t>
  </si>
  <si>
    <t>Top 25 percent</t>
  </si>
  <si>
    <t>Top 50 percent</t>
  </si>
  <si>
    <t>This table contains results from CBO's individual income tax model. That model begins with a sample of tax returns, projects them into future years on the basis of expected economic and demographic changes, and then applies tax rules as scheduled under current law. Results from that model are a key input into CBO's individual income tax baseline, but that baseline also incorporates some additional information not captured by the model. For example, CBO's ultimate projections of receipts consider tax returns filed in the three most recent years available.</t>
  </si>
  <si>
    <t>AMT = alternative minimum tax; IRA = individual retirement account.</t>
  </si>
  <si>
    <t>b. Business income is before disallowed losses on Form 461 and the deduction for qualifying business income.</t>
  </si>
  <si>
    <t xml:space="preserve">c. All sources of income or loss that are included in AGI but not reported above. Includes net operating losses from prior years, unemployment compensation, alimony received, taxable state and local tax refunds, gambling earnings, the exclusion for foreign-earned income, disallowed business losses, and many other smaller items. </t>
  </si>
  <si>
    <t>d. Amounts shown are after any applicable limits on each deduction, such as the limitation of the state and local tax (SALT) deduction, and after applying the overall limitation on itemized deductions.</t>
  </si>
  <si>
    <t>f. Total exemptions and deductions includes the deduction for qualifying business income and additional deductions. Limits include the overall limitation on itemized deductions.</t>
  </si>
  <si>
    <t>g. Taxable income is larger than AGI minus total deductions and exemptions because taxable income cannot fall below zero, even if deductions and exemptions exceed AGI.</t>
  </si>
  <si>
    <t xml:space="preserve">h. See the supplemental data on parameters for bracket thresholds. </t>
  </si>
  <si>
    <t xml:space="preserve">i. See the supplemental data on parameters for the rate structure. </t>
  </si>
  <si>
    <t>j. Excludes the premium tax credit.</t>
  </si>
  <si>
    <t>k. Income tax after credits does not include the portion of certain refundable credits that are considered outlays.</t>
  </si>
  <si>
    <t>m. Includes taxpayers with liability under the AMT and some taxpayers for whom the AMT limits their credits taken under the regular income tax.</t>
  </si>
  <si>
    <t>o. Includes both the outlay portion of the credit and the portion offsetting tax liabilities.</t>
  </si>
  <si>
    <t>4. CBO’s Baseline Projections of Payroll Tax Revenues</t>
  </si>
  <si>
    <t>Social Security</t>
  </si>
  <si>
    <t>Medicare</t>
  </si>
  <si>
    <t>Unemployment insurance</t>
  </si>
  <si>
    <t>Railroad Retirement</t>
  </si>
  <si>
    <t xml:space="preserve">Total </t>
  </si>
  <si>
    <t>5. CBO's Baseline Projections of Excise Tax Revenues</t>
  </si>
  <si>
    <t>Highway taxes</t>
  </si>
  <si>
    <t xml:space="preserve">Highway Trust Fund </t>
  </si>
  <si>
    <t>Gasoline and gasoline blendstocks</t>
  </si>
  <si>
    <t>Diesel fuel and kerosene</t>
  </si>
  <si>
    <t>Other motor fuels</t>
  </si>
  <si>
    <t>Highway tractors, heavy trucks, and trailers</t>
  </si>
  <si>
    <t>Tires for heavy vehicles</t>
  </si>
  <si>
    <t xml:space="preserve">Heavy vehicle use </t>
  </si>
  <si>
    <t>Refunds and credits from the general fund</t>
  </si>
  <si>
    <t>LUST Trust Fund taxes</t>
  </si>
  <si>
    <t>Total highway taxes</t>
  </si>
  <si>
    <t>Aviation taxes</t>
  </si>
  <si>
    <t>Airport and Airways Trust Fund</t>
  </si>
  <si>
    <t>Domestic air passengers</t>
  </si>
  <si>
    <t>International air passengers</t>
  </si>
  <si>
    <t>Air cargo (freight) transportation</t>
  </si>
  <si>
    <t>Aviation fuels</t>
  </si>
  <si>
    <t>Refunds</t>
  </si>
  <si>
    <t>Other (overflight fees, LUST Trust Fund taxes)</t>
  </si>
  <si>
    <t>Total aviation taxes</t>
  </si>
  <si>
    <t>Stock Buybacks</t>
  </si>
  <si>
    <t>Tobacco</t>
  </si>
  <si>
    <t>Alcohol</t>
  </si>
  <si>
    <t>Other</t>
  </si>
  <si>
    <t>LUST = leaking underground storage tank.</t>
  </si>
  <si>
    <t>6. Capital Gains Realizations and Tax Receipts, 1996 to 2036</t>
  </si>
  <si>
    <r>
      <t>Capital gains tax receipts</t>
    </r>
    <r>
      <rPr>
        <vertAlign val="superscript"/>
        <sz val="11"/>
        <rFont val="Arial"/>
        <family val="2"/>
      </rPr>
      <t>b</t>
    </r>
  </si>
  <si>
    <r>
      <t>Capital gains realizations</t>
    </r>
    <r>
      <rPr>
        <vertAlign val="superscript"/>
        <sz val="11"/>
        <rFont val="Arial"/>
        <family val="2"/>
      </rPr>
      <t>a</t>
    </r>
  </si>
  <si>
    <t>Percentage of individual</t>
  </si>
  <si>
    <t>Percentage of GDP</t>
  </si>
  <si>
    <t>income tax receipts</t>
  </si>
  <si>
    <t>Data source: Congressional Budget Office; Treasury Department.</t>
  </si>
  <si>
    <t xml:space="preserve">Notes: Capital gains realizations are the sum of net capital gains from tax returns reporting a net gain. </t>
  </si>
  <si>
    <t xml:space="preserve">Data on realizations in 2023 and earlier years are estimated by the Treasury Department. </t>
  </si>
  <si>
    <t>Data on realizations in 2024 and later years are estimated or projected by CBO.</t>
  </si>
  <si>
    <t>Data on tax receipts in all years are estimated or projected by CBO.</t>
  </si>
  <si>
    <t>GDP = gross domestic product.</t>
  </si>
  <si>
    <t>a. Calendar year basis.</t>
  </si>
  <si>
    <t xml:space="preserve">b. Fiscal year basis. This measure is CBO's estimate of when tax liabilities resulting from capital gains realizations are paid to the Treasury. </t>
  </si>
  <si>
    <t>7a. Estimates of the Revenue Effects, in Billions of Dollars, of Legislation Enacted From 1982 to 2025 That Has a Significant Impact on Revenues</t>
  </si>
  <si>
    <t>Years since law went into effect</t>
  </si>
  <si>
    <t>Public law number</t>
  </si>
  <si>
    <t>Short title</t>
  </si>
  <si>
    <t>Year 1</t>
  </si>
  <si>
    <t>Year 2</t>
  </si>
  <si>
    <t>Year 3</t>
  </si>
  <si>
    <t>Year 4</t>
  </si>
  <si>
    <t>Year 5</t>
  </si>
  <si>
    <t>Year 6</t>
  </si>
  <si>
    <t>Year 7</t>
  </si>
  <si>
    <t>Year 8</t>
  </si>
  <si>
    <t>Year 9</t>
  </si>
  <si>
    <t>Year 10</t>
  </si>
  <si>
    <t>5-year effect</t>
  </si>
  <si>
    <t>10-year effect</t>
  </si>
  <si>
    <t>97-34</t>
  </si>
  <si>
    <t>Economic Recovery Tax Act of 1981</t>
  </si>
  <si>
    <t>n.a.</t>
  </si>
  <si>
    <t>97-248</t>
  </si>
  <si>
    <t>Tax Equity and Fiscal Responsibility Act of 1982</t>
  </si>
  <si>
    <t>98-21</t>
  </si>
  <si>
    <t>Social Security Amendments of 1983</t>
  </si>
  <si>
    <t>98-369</t>
  </si>
  <si>
    <t>Deficit Reduction Act of 1984</t>
  </si>
  <si>
    <t xml:space="preserve"> </t>
  </si>
  <si>
    <t>99-514</t>
  </si>
  <si>
    <t>Tax Reform Act of 1986</t>
  </si>
  <si>
    <t>100-203</t>
  </si>
  <si>
    <t>Omnibus Budget Reconciliation Act of 1987</t>
  </si>
  <si>
    <t xml:space="preserve">             </t>
  </si>
  <si>
    <t>101-508</t>
  </si>
  <si>
    <t>Omnibus Budget Reconciliation Act of 1990</t>
  </si>
  <si>
    <t>103-66</t>
  </si>
  <si>
    <t>Omnibus Budget Reconciliation Act of 1993</t>
  </si>
  <si>
    <t>105-34</t>
  </si>
  <si>
    <t>Taxpayer Relief Act of 1997</t>
  </si>
  <si>
    <t>*</t>
  </si>
  <si>
    <t>107-16</t>
  </si>
  <si>
    <t>Economic Growth and Tax Relief Reconciliation Act of 2001</t>
  </si>
  <si>
    <t>107-147</t>
  </si>
  <si>
    <t>Job Creation and Worker Assistance Act of 2002</t>
  </si>
  <si>
    <t>108-27</t>
  </si>
  <si>
    <t>Jobs and Growth Tax Relief Reconciliation Act of 2003</t>
  </si>
  <si>
    <t>108-311</t>
  </si>
  <si>
    <t>Working Families Tax Relief Act of 2004</t>
  </si>
  <si>
    <t>108-357</t>
  </si>
  <si>
    <t>American Jobs Creation Act of 2004</t>
  </si>
  <si>
    <t>109-222</t>
  </si>
  <si>
    <t>Tax Increase Prevention and Reconciliation Act of 2005</t>
  </si>
  <si>
    <t>109-280</t>
  </si>
  <si>
    <t>Pension Protection Act of 2006</t>
  </si>
  <si>
    <t>109-432</t>
  </si>
  <si>
    <t>Tax Relief and Health Care Act of 2006</t>
  </si>
  <si>
    <t>110-166</t>
  </si>
  <si>
    <t>Tax Increase Prevention Act of 2007</t>
  </si>
  <si>
    <t>110-185</t>
  </si>
  <si>
    <t>Economic Stimulus Act of 2008</t>
  </si>
  <si>
    <t>110-289</t>
  </si>
  <si>
    <t>Housing and Economic Recovery Act of 2008</t>
  </si>
  <si>
    <t>110-343</t>
  </si>
  <si>
    <t>Emergency Economic Stabilization Act of 2008</t>
  </si>
  <si>
    <t>111-3</t>
  </si>
  <si>
    <t>Children's Health Insurance Program Reauthorization Act of 2009</t>
  </si>
  <si>
    <t>111-5</t>
  </si>
  <si>
    <t>American Recovery and Reinvestment Act of 2009</t>
  </si>
  <si>
    <t>111-92</t>
  </si>
  <si>
    <t>Worker, Homeownership, and Business Assistance Act of 2009</t>
  </si>
  <si>
    <t>111-147</t>
  </si>
  <si>
    <t>Hiring Incentives to Restore Employment Act</t>
  </si>
  <si>
    <t>111-148; 111-152</t>
  </si>
  <si>
    <t>Patient Protection and Affordable Health Care Act; Health Care and Education Reconciliation Act of 2010</t>
  </si>
  <si>
    <t>111-240</t>
  </si>
  <si>
    <t>Small Business Jobs Act of 2010</t>
  </si>
  <si>
    <t>111-312</t>
  </si>
  <si>
    <t>Tax Relief, Unemployment Insurance Reauthorization, and Job Creation Act of 2010</t>
  </si>
  <si>
    <t>112-78</t>
  </si>
  <si>
    <t>Temporary Payroll Tax Cut Continuation Act of 2011</t>
  </si>
  <si>
    <t>112-96</t>
  </si>
  <si>
    <t>Middle Class Tax Relief and Job Creation Act of 2012</t>
  </si>
  <si>
    <t>112-240</t>
  </si>
  <si>
    <t>American Taxpayer Relief Act of 2012</t>
  </si>
  <si>
    <t>113-295</t>
  </si>
  <si>
    <t>Tax Increase Prevention Act of 2014</t>
  </si>
  <si>
    <t>114-94</t>
  </si>
  <si>
    <t>Fixing America's Surface Transportation Act</t>
  </si>
  <si>
    <t>114-113</t>
  </si>
  <si>
    <t>Consolidated Appropriations Act, 2016</t>
  </si>
  <si>
    <t>115-97</t>
  </si>
  <si>
    <t>An Act to provide for reconciliation pursuant to titles II and V of the concurrent resolution on the budget for fiscal year 2018. (Originally titled the Tax Cuts and Jobs Act, 2017)</t>
  </si>
  <si>
    <t>116-44</t>
  </si>
  <si>
    <t>Further Consolidated Appropriations Act, 2020</t>
  </si>
  <si>
    <t>116-127</t>
  </si>
  <si>
    <t>Families First Coronavirus Response Act</t>
  </si>
  <si>
    <t>116-136</t>
  </si>
  <si>
    <t>CARES Act</t>
  </si>
  <si>
    <t>116-260</t>
  </si>
  <si>
    <t>Consolidated Appropriations Act, 2021</t>
  </si>
  <si>
    <t>117-2</t>
  </si>
  <si>
    <t>American Rescue Plan Act, 2021</t>
  </si>
  <si>
    <t>117-169</t>
  </si>
  <si>
    <t>An Act to provide for reconciliation pursuant to title II of S. Con. Res. 14. (Originally titled the Inflation Reduction Act, 2022)</t>
  </si>
  <si>
    <t>119-21</t>
  </si>
  <si>
    <t>An Act to provide for reconciliation pursuant to title II of H. Con Res. 14. (Originally titled the One Big Beautiful Bill Act, 2025)</t>
  </si>
  <si>
    <t>GDP</t>
  </si>
  <si>
    <t>PCE</t>
  </si>
  <si>
    <t>Total revenues</t>
  </si>
  <si>
    <t>Legislation that has a significant impact on revenues is generally defined as having at least one year with an effect less than -0.1 percent of GDP or greater than 0.1 percent of GDP.</t>
  </si>
  <si>
    <t>Estimates of the revenue effects of legislation reflect the estimates used to update CBO’s baseline. For changes to the tax code, the estimates of legislative changes were made by the staff of the Joint Committee on Taxation.</t>
  </si>
  <si>
    <t>GDP = gross domestic product; PCE = personal consumption expenditures; n.a. = not available; * = between -$500 million and $500 million.</t>
  </si>
  <si>
    <t>7b. Estimates of the Revenue Effects, Measured as a Percentage of GDP, of Legislation Enacted From 1982 to 2025 That Has a Significant Impact on Revenues</t>
  </si>
  <si>
    <t>8. Relation of NIPA Corporate Profits to Income Subject to Tax Under the Corporate Income Tax in CBO's February 2026 Baseline</t>
  </si>
  <si>
    <t xml:space="preserve"> Adjustment for misreporting on income tax returns</t>
  </si>
  <si>
    <t xml:space="preserve"> State and local taxes on corporate income</t>
  </si>
  <si>
    <t xml:space="preserve"> Interest payments of regulated investment companies</t>
  </si>
  <si>
    <t xml:space="preserve"> Bad debt expense</t>
  </si>
  <si>
    <t xml:space="preserve"> Gains, net of losses, from sale of property</t>
  </si>
  <si>
    <t xml:space="preserve"> Dividends received from domestic corporations</t>
  </si>
  <si>
    <t xml:space="preserve"> Income received from equities in foreign corporations and branches by all U.S. residents, net of corresponding payments</t>
  </si>
  <si>
    <t>Source: Congressional Budget Office.</t>
  </si>
  <si>
    <t>BEA = Bureau of Economic Analysis; CCAdj = capital consumption adjustment; IRS = Internal Revenue Service; IVA = inventory valuation adjustment; NIPAs = National Income and Product Accounts; REITs = real estate investment trusts; RICs = regulated investment companies.</t>
  </si>
  <si>
    <t>This table contains projections used in CBO’s corporate income tax model. The model begins with elements published by BEA in the NIPAs (Table 7.16, "Relation of Corporate Profits, Taxes, and Dividends in the National Income and Product Accounts to Corresponding Measures as Published by the Internal Revenue Service"). To derive "Total receipts less total deductions," CBO makes projections of certain elements in that table and applies the sum of the projections to "Corporate Profits Before Tax." These projections are a key input into CBO’s corporate income tax baseline, but that baseline also incorporates additional information to derive baseline receipts.</t>
  </si>
  <si>
    <r>
      <t xml:space="preserve">For a complete discussion of BEA's corporate profits measures and the elements of Table 7.16, see Bureau of Economic Analysis, </t>
    </r>
    <r>
      <rPr>
        <i/>
        <sz val="11"/>
        <color rgb="FF000000"/>
        <rFont val="Arial"/>
        <family val="2"/>
      </rPr>
      <t>Concepts and Methods of the U.S. National Income and Product Accounts</t>
    </r>
    <r>
      <rPr>
        <sz val="11"/>
        <color rgb="FF000000"/>
        <rFont val="Arial"/>
        <family val="2"/>
      </rPr>
      <t>, Chapter 13, www.bea.gov/sites/default/files/methodologies/nipa-handbook-all-chapters.pdf#page=350.</t>
    </r>
  </si>
  <si>
    <r>
      <t>Details about the IRS's income concepts that are used in this table can be found at Internal Revenue Service, "SOI Tax Stats—Corporation Complete Report"</t>
    </r>
    <r>
      <rPr>
        <b/>
        <sz val="11"/>
        <color theme="1"/>
        <rFont val="Arial"/>
        <family val="2"/>
      </rPr>
      <t>,</t>
    </r>
    <r>
      <rPr>
        <sz val="11"/>
        <color theme="1"/>
        <rFont val="Arial"/>
        <family val="2"/>
      </rPr>
      <t xml:space="preserve"> https://www.irs.gov/statistics/soi-tax-stats-corporation-complete-report.</t>
    </r>
  </si>
  <si>
    <t>These estimates are based on the most recent data available when CBO was developing its baseline projections. Those data are from Table 7.16 in the NIPAs (which was released on September 26, 2025) and from Tables 2.1 and 5.3 in "SOI Tax Stats—Corporation Complete Report." Totals displayed may differ from published values because of rounding. Shaded cells are CBO's estimates.</t>
  </si>
  <si>
    <t>In billions of dollars</t>
  </si>
  <si>
    <r>
      <t xml:space="preserve">These estimates are based on a sample of over 300,000 tax returns filed in 2022 created by the Internal Revenue Service (IRS). Details of the sample file and the concepts used in this table can be found at Internal Revenue Service, </t>
    </r>
    <r>
      <rPr>
        <i/>
        <sz val="11"/>
        <rFont val="Arial"/>
        <family val="2"/>
      </rPr>
      <t xml:space="preserve">Individual Income Tax Returns: Complete Report, </t>
    </r>
    <r>
      <rPr>
        <sz val="11"/>
        <rFont val="Arial"/>
        <family val="2"/>
      </rPr>
      <t>Publication 1304 (2022),</t>
    </r>
    <r>
      <rPr>
        <sz val="11"/>
        <color theme="4"/>
        <rFont val="Arial"/>
        <family val="2"/>
      </rPr>
      <t xml:space="preserve"> </t>
    </r>
    <r>
      <rPr>
        <sz val="11"/>
        <rFont val="Arial"/>
        <family val="2"/>
      </rPr>
      <t>www.irs.gov/pub/irs-pdf/p1304.pdf</t>
    </r>
  </si>
  <si>
    <t xml:space="preserve">n. Receipts are actuals through FY 2025 and projections thereafter. The final projections of individual income tax receipts include many adjustments to the tax year liability estimate. Those adjustments include converting the projections from a calendar year liability basis to a fiscal year receipts basis, adding receipts of back taxes and fiduciary taxes, accounting for reallocations made between individual income and payroll taxes, adjusting for certain federal subsidies that boost business income in the NIPAs (national income and product accounts) but not taxable income, adding the effects of certain legislation not explicitly modeled on the microsimulation tax model, and adjusting for differences in projected tax liabilities and those implied by recently observed collections. </t>
  </si>
  <si>
    <t>p. Income groups are defined on the basis of the distribution of tax units by adjusted gross income.</t>
  </si>
  <si>
    <t>l. Based on returns filed in 2022, including dependents, plus estimates of future additional filers. The estimate does not account for changes in the filing thresholds, which may cause changes in the number of filers.</t>
  </si>
  <si>
    <t>e. Includes deductions for tipped income, overtime compensation, vehicle loan interest, and taxpayers age 65 or older.</t>
  </si>
  <si>
    <t xml:space="preserve">a. Includes sales of capital assets and sales of property other than capital assets. </t>
  </si>
  <si>
    <t>An Act to provide for reconciliation pursuant to title II of H. Con Res. 14 (originally titled the One Big Beautiful Bill Act, 2025)</t>
  </si>
  <si>
    <t>An Act to provide for reconciliation pursuant to title II of S. Con. Res. 14 (originally titled the Inflation Reduction Act, 2022)</t>
  </si>
  <si>
    <t>GDP = gross domestic product; PCE = personal consumption expenditures; n.a. = not available; 
* = between -$500 million and $500 million.</t>
  </si>
  <si>
    <t xml:space="preserve"> Income on equities in foreign corporations and branches (to U.S. corporations)</t>
  </si>
  <si>
    <t>All years are calendar years.</t>
  </si>
  <si>
    <t>Adjustments to corporate profits before tax</t>
  </si>
  <si>
    <t>Total adjustments</t>
  </si>
  <si>
    <r>
      <t>Corporate profits before tax after total adjustments (is equivalent to total receipts less total deductions, IRS)</t>
    </r>
    <r>
      <rPr>
        <vertAlign val="superscript"/>
        <sz val="11"/>
        <rFont val="Arial"/>
        <family val="2"/>
      </rPr>
      <t>e</t>
    </r>
  </si>
  <si>
    <r>
      <t>Net income (less deficit) for all corporations</t>
    </r>
    <r>
      <rPr>
        <vertAlign val="superscript"/>
        <sz val="11"/>
        <rFont val="Arial"/>
        <family val="2"/>
      </rPr>
      <t>f</t>
    </r>
  </si>
  <si>
    <r>
      <t>Net income (less deficit) for corporations subject to the corporate income tax</t>
    </r>
    <r>
      <rPr>
        <vertAlign val="superscript"/>
        <sz val="11"/>
        <color theme="1"/>
        <rFont val="Arial"/>
        <family val="2"/>
      </rPr>
      <t>g</t>
    </r>
  </si>
  <si>
    <r>
      <t>Income subject to Tax under the corporate income tax</t>
    </r>
    <r>
      <rPr>
        <vertAlign val="superscript"/>
        <sz val="11"/>
        <color theme="1"/>
        <rFont val="Arial"/>
        <family val="2"/>
      </rPr>
      <t>h</t>
    </r>
  </si>
  <si>
    <r>
      <t>Corporate profits before tax</t>
    </r>
    <r>
      <rPr>
        <vertAlign val="superscript"/>
        <sz val="11"/>
        <rFont val="Arial"/>
        <family val="2"/>
      </rPr>
      <t>a</t>
    </r>
    <r>
      <rPr>
        <sz val="11"/>
        <rFont val="Arial"/>
        <family val="2"/>
      </rPr>
      <t xml:space="preserve"> (without IVA and CCAdj)</t>
    </r>
    <r>
      <rPr>
        <vertAlign val="superscript"/>
        <sz val="11"/>
        <rFont val="Arial"/>
        <family val="2"/>
      </rPr>
      <t>b</t>
    </r>
  </si>
  <si>
    <r>
      <t xml:space="preserve"> Post-tabulation amendments and revisions</t>
    </r>
    <r>
      <rPr>
        <vertAlign val="superscript"/>
        <sz val="11"/>
        <rFont val="Arial"/>
        <family val="2"/>
      </rPr>
      <t>c</t>
    </r>
  </si>
  <si>
    <t xml:space="preserve">g. Excludes the estimated net income of pass-through entities.  </t>
  </si>
  <si>
    <t xml:space="preserve">h. Removes estimated net operating losses and other special deductions from the measure of "net income (less deficit) for corporations subject to the corporate income tax." In addition, it is adjusted to account for any discrepancies between derived and actual values in history. </t>
  </si>
  <si>
    <t xml:space="preserve">f. Includes the income of all entities legally organized as corporations, as well as additional income not captured in the derivation from profits, such as nontaxable interest on state and local government obligations and constructive taxable income from related foreign corporations. </t>
  </si>
  <si>
    <r>
      <t xml:space="preserve"> Other adjustments to corporate profits before tax</t>
    </r>
    <r>
      <rPr>
        <vertAlign val="superscript"/>
        <sz val="11"/>
        <rFont val="Arial"/>
        <family val="2"/>
      </rPr>
      <t>d</t>
    </r>
  </si>
  <si>
    <t>a. Gross measure related to current activity; BEA derives it from total receipts less total deductions, as reported by the IRS for all corporations, by adding and subtracting certain items treated differently in the national accounts and for income tax purposes.</t>
  </si>
  <si>
    <r>
      <t xml:space="preserve">b. Component of BEA's measure of overall corporate profits (with IVA and CCAdj). Changes to tax depreciation affect estimates of profits before tax but not corporate profits with IVA and CCAdj. For more information on how changes to tax depreciation affect profits in the NIPAs, see Bureau of Economic Analysis, "How Do Changes in the Tax Treatment of Depreciation Impact NIPA Corporate Profits?" </t>
    </r>
    <r>
      <rPr>
        <sz val="11"/>
        <rFont val="Arial"/>
        <family val="2"/>
      </rPr>
      <t>(August 5, 2011),</t>
    </r>
    <r>
      <rPr>
        <sz val="11"/>
        <color rgb="FF000000"/>
        <rFont val="Arial"/>
        <family val="2"/>
      </rPr>
      <t xml:space="preserve"> www.bea.gov/help/faq/1002.</t>
    </r>
  </si>
  <si>
    <t>c. Contains adjustments to reflect changes from Public Law 115-97, including the treatment of certain deductions such as for excess interest expense (beginning in 2018). For 2021, this item also contains an adjustment to reflect the effect of Paycheck Protection Program (PPP) loans in corporate profits.  For more information see "How does the Paycheck Protection Program Impact the National Income and Product Accounts?", https://www.bea.gov/help/faq/1408.  Previously this item contained and adjustment for changes to the treatment of research and experimentation expenses (beginning in 2022).  That effect has been removed as of the current projection and is captured in the “Adjustment to depreciate expenditures for intellectual property products” included in  "Other adjustments to corporate profits before tax".</t>
  </si>
  <si>
    <t xml:space="preserve">e. Estimate for C corporations as well as entities that are legally organized as corporations but whose income is not subject to the corporate income tax.  </t>
  </si>
  <si>
    <t xml:space="preserve">d. Includes the following elements of Table 7.16 in the NIPAs: “income of organizations not filing corporation income tax returns,” “depletion on domestic minerals,” “adjustment to depreciate expenditures for mining exploration, shafts and wells,” “adjustment to depreciate expenditures for intellectual property products,” “disaster adjustments (net),” “costs of trading or issuing corporate securities,” and “excess of employer expenses over actual employer contributions for defined benefit employee pension plans.” "Other adjustments to corporate profits before tax" also includes adjustments for any remaining discrepancies to align corporate profits before tax with total receipts less total deductions.  </t>
  </si>
  <si>
    <r>
      <t>This file presents data that underlie CBO’s February 2026 report</t>
    </r>
    <r>
      <rPr>
        <i/>
        <sz val="11"/>
        <rFont val="Arial"/>
        <family val="2"/>
      </rPr>
      <t xml:space="preserve"> The Budget and Economic Outlook: 2026 to 2036 </t>
    </r>
    <r>
      <rPr>
        <sz val="11"/>
        <rFont val="Arial"/>
        <family val="2"/>
      </rPr>
      <t>and provides supplemental information</t>
    </r>
    <r>
      <rPr>
        <i/>
        <sz val="11"/>
        <rFont val="Arial"/>
        <family val="2"/>
      </rPr>
      <t>.</t>
    </r>
  </si>
  <si>
    <t>www.cbo.gov/publication/61882</t>
  </si>
  <si>
    <t>Off-budget</t>
  </si>
  <si>
    <t>Other retirement</t>
  </si>
  <si>
    <t>This file was reposted on February 26, 2026, to correct values in Tables 7a and 7b for the revenue effects of the 2025 reconciliation act. The previous version incorrectly included only on-budget revenue effects.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</si>
</sst>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4" formatCode="_(&quot;$&quot;* #,##0.00_);_(&quot;$&quot;* \(#,##0.00\);_(&quot;$&quot;* &quot;-&quot;??_);_(@_)"/>
    <numFmt numFmtId="43" formatCode="_(* #,##0.00_);_(* \(#,##0.00\);_(* &quot;-&quot;??_);_(@_)"/>
    <numFmt numFmtId="164" formatCode="0.000"/>
    <numFmt numFmtId="165" formatCode="0.0"/>
    <numFmt numFmtId="166" formatCode="#,##0.000"/>
    <numFmt numFmtId="167" formatCode="_(* #,##0_);_(* \(#,##0\);_(* &quot;-&quot;??_);_(@_)"/>
    <numFmt numFmtId="168" formatCode="#,##0.0000"/>
    <numFmt numFmtId="169" formatCode="#,##0.00000"/>
    <numFmt numFmtId="170" formatCode="0.000_)"/>
    <numFmt numFmtId="171" formatCode="0.0_)"/>
    <numFmt numFmtId="172" formatCode="#,##0.0"/>
    <numFmt numFmtId="173" formatCode="_(* #,##0.000_);_(* \(#,##0.000\);_(* &quot;-&quot;??_);_(@_)"/>
    <numFmt numFmtId="174" formatCode="_(* #,##0.0_);_(* \(#,##0.0\);_(* &quot;-&quot;??_);_(@_)"/>
    <numFmt numFmtId="175" formatCode="##,##0"/>
    <numFmt numFmtId="176" formatCode="#,###"/>
    <numFmt numFmtId="177" formatCode="##,##0.0"/>
    <numFmt numFmtId="178" formatCode="0.0000"/>
    <numFmt numFmtId="179" formatCode="##,##0.000"/>
    <numFmt numFmtId="180" formatCode="##,##0.0000"/>
  </numFmts>
  <fonts count="60">
    <font>
      <sz val="11"/>
      <color theme="1"/>
      <name val="Calibri"/>
      <family val="2"/>
      <scheme val="minor"/>
    </font>
    <font>
      <sz val="11"/>
      <color theme="1"/>
      <name val="Arial"/>
      <family val="2"/>
    </font>
    <font>
      <sz val="12"/>
      <name val="Arial"/>
      <family val="2"/>
    </font>
    <font>
      <sz val="10"/>
      <name val="Arial"/>
      <family val="2"/>
    </font>
    <font>
      <sz val="12"/>
      <color theme="1"/>
      <name val="Calibri"/>
      <family val="2"/>
      <scheme val="minor"/>
    </font>
    <font>
      <u/>
      <sz val="10"/>
      <color theme="10"/>
      <name val="Arial"/>
      <family val="2"/>
    </font>
    <font>
      <sz val="11"/>
      <color theme="3"/>
      <name val="Arial"/>
      <family val="2"/>
    </font>
    <font>
      <b/>
      <sz val="11"/>
      <color theme="1"/>
      <name val="Arial"/>
      <family val="2"/>
    </font>
    <font>
      <sz val="11"/>
      <name val="Arial"/>
      <family val="2"/>
    </font>
    <font>
      <b/>
      <sz val="11"/>
      <name val="Arial"/>
      <family val="2"/>
    </font>
    <font>
      <sz val="11"/>
      <color theme="1"/>
      <name val="Calibri"/>
      <family val="2"/>
      <scheme val="minor"/>
    </font>
    <font>
      <sz val="10"/>
      <name val="Arial"/>
      <family val="2"/>
    </font>
    <font>
      <i/>
      <sz val="11"/>
      <name val="Arial"/>
      <family val="2"/>
    </font>
    <font>
      <u/>
      <sz val="11"/>
      <color theme="10"/>
      <name val="Calibri"/>
      <family val="2"/>
    </font>
    <font>
      <u/>
      <sz val="12"/>
      <color theme="10"/>
      <name val="Arial"/>
      <family val="2"/>
    </font>
    <font>
      <sz val="10"/>
      <name val="Arial"/>
      <family val="2"/>
    </font>
    <font>
      <u/>
      <sz val="10"/>
      <color indexed="12"/>
      <name val="Arial"/>
      <family val="2"/>
    </font>
    <font>
      <sz val="10"/>
      <color theme="1"/>
      <name val="Arial"/>
      <family val="2"/>
    </font>
    <font>
      <sz val="10"/>
      <color theme="0"/>
      <name val="Arial"/>
      <family val="2"/>
    </font>
    <font>
      <sz val="10"/>
      <color rgb="FF9C0006"/>
      <name val="Arial"/>
      <family val="2"/>
    </font>
    <font>
      <b/>
      <sz val="10"/>
      <color rgb="FFFA7D00"/>
      <name val="Arial"/>
      <family val="2"/>
    </font>
    <font>
      <b/>
      <sz val="10"/>
      <color theme="0"/>
      <name val="Arial"/>
      <family val="2"/>
    </font>
    <font>
      <sz val="11"/>
      <color indexed="8"/>
      <name val="Calibri"/>
      <family val="2"/>
    </font>
    <font>
      <i/>
      <sz val="10"/>
      <color rgb="FF7F7F7F"/>
      <name val="Arial"/>
      <family val="2"/>
    </font>
    <font>
      <sz val="10"/>
      <color rgb="FF006100"/>
      <name val="Arial"/>
      <family val="2"/>
    </font>
    <font>
      <b/>
      <sz val="15"/>
      <color theme="3"/>
      <name val="Arial"/>
      <family val="2"/>
    </font>
    <font>
      <b/>
      <sz val="13"/>
      <color theme="3"/>
      <name val="Arial"/>
      <family val="2"/>
    </font>
    <font>
      <b/>
      <sz val="11"/>
      <color theme="3"/>
      <name val="Arial"/>
      <family val="2"/>
    </font>
    <font>
      <sz val="10"/>
      <color rgb="FF3F3F76"/>
      <name val="Arial"/>
      <family val="2"/>
    </font>
    <font>
      <sz val="10"/>
      <color rgb="FFFA7D00"/>
      <name val="Arial"/>
      <family val="2"/>
    </font>
    <font>
      <sz val="10"/>
      <color rgb="FF9C6500"/>
      <name val="Arial"/>
      <family val="2"/>
    </font>
    <font>
      <sz val="12"/>
      <name val="Times New Roman"/>
      <family val="1"/>
    </font>
    <font>
      <sz val="10"/>
      <name val="MS Sans Serif"/>
      <family val="2"/>
    </font>
    <font>
      <b/>
      <sz val="10"/>
      <color rgb="FF3F3F3F"/>
      <name val="Arial"/>
      <family val="2"/>
    </font>
    <font>
      <b/>
      <sz val="10"/>
      <color theme="1"/>
      <name val="Arial"/>
      <family val="2"/>
    </font>
    <font>
      <sz val="10"/>
      <color rgb="FFFF0000"/>
      <name val="Arial"/>
      <family val="2"/>
    </font>
    <font>
      <vertAlign val="superscript"/>
      <sz val="11"/>
      <name val="Arial"/>
      <family val="2"/>
    </font>
    <font>
      <sz val="10"/>
      <name val="Arial"/>
      <family val="2"/>
    </font>
    <font>
      <sz val="10"/>
      <name val="Times New Roman"/>
      <family val="1"/>
    </font>
    <font>
      <b/>
      <sz val="18"/>
      <color theme="3"/>
      <name val="Cambria"/>
      <family val="2"/>
      <scheme val="major"/>
    </font>
    <font>
      <sz val="10"/>
      <name val="P-TIMES"/>
    </font>
    <font>
      <sz val="10"/>
      <name val="Arial"/>
      <family val="2"/>
    </font>
    <font>
      <u/>
      <sz val="11"/>
      <color theme="10"/>
      <name val="Calibri"/>
      <family val="2"/>
      <scheme val="minor"/>
    </font>
    <font>
      <sz val="10"/>
      <color rgb="FF000000"/>
      <name val="Times New Roman"/>
      <family val="1"/>
    </font>
    <font>
      <i/>
      <sz val="11"/>
      <color theme="1"/>
      <name val="Arial"/>
      <family val="2"/>
    </font>
    <font>
      <vertAlign val="superscript"/>
      <sz val="11"/>
      <color theme="1"/>
      <name val="Arial"/>
      <family val="2"/>
    </font>
    <font>
      <sz val="11"/>
      <color rgb="FFFF0000"/>
      <name val="Arial"/>
      <family val="2"/>
    </font>
    <font>
      <sz val="10"/>
      <color theme="3"/>
      <name val="Arial"/>
      <family val="2"/>
    </font>
    <font>
      <b/>
      <sz val="11"/>
      <color rgb="FFFF0000"/>
      <name val="Arial"/>
      <family val="2"/>
    </font>
    <font>
      <sz val="11"/>
      <color indexed="8"/>
      <name val="Arial"/>
      <family val="2"/>
    </font>
    <font>
      <i/>
      <sz val="11"/>
      <color rgb="FFFF0000"/>
      <name val="Arial"/>
      <family val="2"/>
    </font>
    <font>
      <b/>
      <vertAlign val="superscript"/>
      <sz val="11"/>
      <color theme="1"/>
      <name val="Arial"/>
      <family val="2"/>
    </font>
    <font>
      <sz val="11"/>
      <color theme="4"/>
      <name val="Arial"/>
      <family val="2"/>
    </font>
    <font>
      <i/>
      <sz val="11"/>
      <color rgb="FF000000"/>
      <name val="Arial"/>
      <family val="2"/>
    </font>
    <font>
      <sz val="11"/>
      <color rgb="FF000000"/>
      <name val="Arial"/>
      <family val="2"/>
    </font>
    <font>
      <b/>
      <sz val="11"/>
      <color rgb="FFC00000"/>
      <name val="Arial"/>
      <family val="2"/>
    </font>
    <font>
      <b/>
      <sz val="11"/>
      <color rgb="FF000000"/>
      <name val="Arial"/>
      <family val="2"/>
    </font>
    <font>
      <u/>
      <sz val="11"/>
      <name val="Arial"/>
      <family val="2"/>
    </font>
    <font>
      <u/>
      <sz val="11"/>
      <color theme="1"/>
      <name val="Arial"/>
      <family val="2"/>
    </font>
    <font>
      <u val="singleAccounting"/>
      <sz val="11"/>
      <color theme="1"/>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right/>
      <top/>
      <bottom style="thin">
        <color theme="1"/>
      </bottom>
      <diagonal/>
    </border>
    <border>
      <left/>
      <right/>
      <top style="thin">
        <color indexed="64"/>
      </top>
      <bottom/>
      <diagonal/>
    </border>
    <border>
      <left/>
      <right style="thin">
        <color indexed="64"/>
      </right>
      <top/>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s>
  <cellStyleXfs count="332">
    <xf numFmtId="0" fontId="0" fillId="0" borderId="0"/>
    <xf numFmtId="0" fontId="2" fillId="0" borderId="0"/>
    <xf numFmtId="43" fontId="3" fillId="0" borderId="0" applyFont="0" applyFill="0" applyBorder="0" applyAlignment="0" applyProtection="0"/>
    <xf numFmtId="0" fontId="4" fillId="0" borderId="0"/>
    <xf numFmtId="0" fontId="4" fillId="0" borderId="0"/>
    <xf numFmtId="0" fontId="6" fillId="0" borderId="0" applyNumberFormat="0" applyFill="0" applyBorder="0" applyAlignment="0" applyProtection="0"/>
    <xf numFmtId="0" fontId="11" fillId="0" borderId="0"/>
    <xf numFmtId="0" fontId="3" fillId="0" borderId="0"/>
    <xf numFmtId="9" fontId="3" fillId="0" borderId="0" applyFont="0" applyFill="0" applyBorder="0" applyAlignment="0" applyProtection="0"/>
    <xf numFmtId="0" fontId="2" fillId="0" borderId="0"/>
    <xf numFmtId="0" fontId="3" fillId="0" borderId="0"/>
    <xf numFmtId="43" fontId="3" fillId="0" borderId="0" applyFont="0" applyFill="0" applyBorder="0" applyAlignment="0" applyProtection="0"/>
    <xf numFmtId="43" fontId="3" fillId="0" borderId="0" applyFont="0" applyFill="0" applyBorder="0" applyAlignment="0" applyProtection="0"/>
    <xf numFmtId="0" fontId="13" fillId="0" borderId="0" applyNumberFormat="0" applyFill="0" applyBorder="0" applyAlignment="0" applyProtection="0">
      <alignment vertical="top"/>
      <protection locked="0"/>
    </xf>
    <xf numFmtId="0" fontId="3" fillId="0" borderId="0"/>
    <xf numFmtId="0" fontId="14" fillId="0" borderId="0" applyNumberFormat="0" applyFill="0" applyBorder="0" applyAlignment="0" applyProtection="0"/>
    <xf numFmtId="9" fontId="10" fillId="0" borderId="0" applyFont="0" applyFill="0" applyBorder="0" applyAlignment="0" applyProtection="0"/>
    <xf numFmtId="0" fontId="15" fillId="0" borderId="0"/>
    <xf numFmtId="0" fontId="10" fillId="0" borderId="0"/>
    <xf numFmtId="0" fontId="2" fillId="0" borderId="0"/>
    <xf numFmtId="0" fontId="16" fillId="0" borderId="0" applyNumberFormat="0" applyFill="0" applyBorder="0" applyAlignment="0" applyProtection="0">
      <alignment vertical="top"/>
      <protection locked="0"/>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 fillId="0" borderId="0"/>
    <xf numFmtId="0" fontId="10" fillId="0" borderId="0"/>
    <xf numFmtId="0" fontId="10" fillId="0" borderId="0"/>
    <xf numFmtId="0" fontId="3" fillId="0" borderId="0"/>
    <xf numFmtId="0" fontId="10" fillId="0" borderId="0"/>
    <xf numFmtId="0" fontId="10" fillId="0" borderId="0"/>
    <xf numFmtId="0" fontId="3"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 fillId="0" borderId="0"/>
    <xf numFmtId="0" fontId="3" fillId="0" borderId="0"/>
    <xf numFmtId="0" fontId="3"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 fillId="0" borderId="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3" fillId="0" borderId="0"/>
    <xf numFmtId="0" fontId="17" fillId="10" borderId="0" applyNumberFormat="0" applyBorder="0" applyAlignment="0" applyProtection="0"/>
    <xf numFmtId="0" fontId="17" fillId="14" borderId="0" applyNumberFormat="0" applyBorder="0" applyAlignment="0" applyProtection="0"/>
    <xf numFmtId="0" fontId="17" fillId="18" borderId="0" applyNumberFormat="0" applyBorder="0" applyAlignment="0" applyProtection="0"/>
    <xf numFmtId="0" fontId="17" fillId="22" borderId="0" applyNumberFormat="0" applyBorder="0" applyAlignment="0" applyProtection="0"/>
    <xf numFmtId="0" fontId="17" fillId="26" borderId="0" applyNumberFormat="0" applyBorder="0" applyAlignment="0" applyProtection="0"/>
    <xf numFmtId="0" fontId="17" fillId="30" borderId="0" applyNumberFormat="0" applyBorder="0" applyAlignment="0" applyProtection="0"/>
    <xf numFmtId="0" fontId="17" fillId="11" borderId="0" applyNumberFormat="0" applyBorder="0" applyAlignment="0" applyProtection="0"/>
    <xf numFmtId="0" fontId="17" fillId="15" borderId="0" applyNumberFormat="0" applyBorder="0" applyAlignment="0" applyProtection="0"/>
    <xf numFmtId="0" fontId="17" fillId="19" borderId="0" applyNumberFormat="0" applyBorder="0" applyAlignment="0" applyProtection="0"/>
    <xf numFmtId="0" fontId="17" fillId="23" borderId="0" applyNumberFormat="0" applyBorder="0" applyAlignment="0" applyProtection="0"/>
    <xf numFmtId="0" fontId="17" fillId="27" borderId="0" applyNumberFormat="0" applyBorder="0" applyAlignment="0" applyProtection="0"/>
    <xf numFmtId="0" fontId="17" fillId="31" borderId="0" applyNumberFormat="0" applyBorder="0" applyAlignment="0" applyProtection="0"/>
    <xf numFmtId="0" fontId="18" fillId="12" borderId="0" applyNumberFormat="0" applyBorder="0" applyAlignment="0" applyProtection="0"/>
    <xf numFmtId="0" fontId="18" fillId="16" borderId="0" applyNumberFormat="0" applyBorder="0" applyAlignment="0" applyProtection="0"/>
    <xf numFmtId="0" fontId="18" fillId="20" borderId="0" applyNumberFormat="0" applyBorder="0" applyAlignment="0" applyProtection="0"/>
    <xf numFmtId="0" fontId="18" fillId="24" borderId="0" applyNumberFormat="0" applyBorder="0" applyAlignment="0" applyProtection="0"/>
    <xf numFmtId="0" fontId="18" fillId="28" borderId="0" applyNumberFormat="0" applyBorder="0" applyAlignment="0" applyProtection="0"/>
    <xf numFmtId="0" fontId="18" fillId="32" borderId="0" applyNumberFormat="0" applyBorder="0" applyAlignment="0" applyProtection="0"/>
    <xf numFmtId="0" fontId="18" fillId="9" borderId="0" applyNumberFormat="0" applyBorder="0" applyAlignment="0" applyProtection="0"/>
    <xf numFmtId="0" fontId="18" fillId="13" borderId="0" applyNumberFormat="0" applyBorder="0" applyAlignment="0" applyProtection="0"/>
    <xf numFmtId="0" fontId="18" fillId="17" borderId="0" applyNumberFormat="0" applyBorder="0" applyAlignment="0" applyProtection="0"/>
    <xf numFmtId="0" fontId="18" fillId="21" borderId="0" applyNumberFormat="0" applyBorder="0" applyAlignment="0" applyProtection="0"/>
    <xf numFmtId="0" fontId="18" fillId="25" borderId="0" applyNumberFormat="0" applyBorder="0" applyAlignment="0" applyProtection="0"/>
    <xf numFmtId="0" fontId="18" fillId="29" borderId="0" applyNumberFormat="0" applyBorder="0" applyAlignment="0" applyProtection="0"/>
    <xf numFmtId="0" fontId="19" fillId="3" borderId="0" applyNumberFormat="0" applyBorder="0" applyAlignment="0" applyProtection="0"/>
    <xf numFmtId="0" fontId="20" fillId="6" borderId="4" applyNumberFormat="0" applyAlignment="0" applyProtection="0"/>
    <xf numFmtId="0" fontId="21" fillId="7" borderId="7" applyNumberFormat="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3" fontId="3" fillId="0" borderId="0" applyFont="0" applyFill="0" applyBorder="0" applyAlignment="0" applyProtection="0"/>
    <xf numFmtId="44" fontId="22" fillId="0" borderId="0" applyFont="0" applyFill="0" applyBorder="0" applyAlignment="0" applyProtection="0"/>
    <xf numFmtId="44" fontId="22" fillId="0" borderId="0" applyFont="0" applyFill="0" applyBorder="0" applyAlignment="0" applyProtection="0"/>
    <xf numFmtId="0" fontId="23" fillId="0" borderId="0" applyNumberFormat="0" applyFill="0" applyBorder="0" applyAlignment="0" applyProtection="0"/>
    <xf numFmtId="0" fontId="24" fillId="2" borderId="0" applyNumberFormat="0" applyBorder="0" applyAlignment="0" applyProtection="0"/>
    <xf numFmtId="0" fontId="25" fillId="0" borderId="1" applyNumberFormat="0" applyFill="0" applyAlignment="0" applyProtection="0"/>
    <xf numFmtId="0" fontId="26" fillId="0" borderId="2" applyNumberFormat="0" applyFill="0" applyAlignment="0" applyProtection="0"/>
    <xf numFmtId="0" fontId="27" fillId="0" borderId="3" applyNumberFormat="0" applyFill="0" applyAlignment="0" applyProtection="0"/>
    <xf numFmtId="0" fontId="27" fillId="0" borderId="0" applyNumberFormat="0" applyFill="0" applyBorder="0" applyAlignment="0" applyProtection="0"/>
    <xf numFmtId="0" fontId="28" fillId="5" borderId="4" applyNumberFormat="0" applyAlignment="0" applyProtection="0"/>
    <xf numFmtId="0" fontId="29" fillId="0" borderId="6" applyNumberFormat="0" applyFill="0" applyAlignment="0" applyProtection="0"/>
    <xf numFmtId="0" fontId="30" fillId="4" borderId="0" applyNumberFormat="0" applyBorder="0" applyAlignment="0" applyProtection="0"/>
    <xf numFmtId="0" fontId="3" fillId="0" borderId="0"/>
    <xf numFmtId="0" fontId="10" fillId="0" borderId="0"/>
    <xf numFmtId="0" fontId="10" fillId="0" borderId="0"/>
    <xf numFmtId="0" fontId="10" fillId="0" borderId="0"/>
    <xf numFmtId="0" fontId="3" fillId="0" borderId="0"/>
    <xf numFmtId="0" fontId="10" fillId="0" borderId="0"/>
    <xf numFmtId="0" fontId="10" fillId="0" borderId="0"/>
    <xf numFmtId="0" fontId="10" fillId="0" borderId="0"/>
    <xf numFmtId="0" fontId="3" fillId="0" borderId="0"/>
    <xf numFmtId="0" fontId="10" fillId="0" borderId="0"/>
    <xf numFmtId="0" fontId="10" fillId="0" borderId="0"/>
    <xf numFmtId="0" fontId="10" fillId="0" borderId="0"/>
    <xf numFmtId="0" fontId="3" fillId="0" borderId="0"/>
    <xf numFmtId="0" fontId="3" fillId="0" borderId="0"/>
    <xf numFmtId="0" fontId="3" fillId="0" borderId="0"/>
    <xf numFmtId="0" fontId="3" fillId="0" borderId="0"/>
    <xf numFmtId="0" fontId="17"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 fillId="0" borderId="0"/>
    <xf numFmtId="0" fontId="32" fillId="0" borderId="0"/>
    <xf numFmtId="0" fontId="32" fillId="0" borderId="0"/>
    <xf numFmtId="0" fontId="32" fillId="0" borderId="0"/>
    <xf numFmtId="0" fontId="32" fillId="0" borderId="0"/>
    <xf numFmtId="0" fontId="2" fillId="0" borderId="0"/>
    <xf numFmtId="0" fontId="2" fillId="0" borderId="0"/>
    <xf numFmtId="0" fontId="2" fillId="0" borderId="0"/>
    <xf numFmtId="0" fontId="3" fillId="0" borderId="0"/>
    <xf numFmtId="0" fontId="3" fillId="0" borderId="0"/>
    <xf numFmtId="0" fontId="10" fillId="0" borderId="0"/>
    <xf numFmtId="0" fontId="3" fillId="0" borderId="0"/>
    <xf numFmtId="0" fontId="10" fillId="8" borderId="8" applyNumberFormat="0" applyFont="0" applyAlignment="0" applyProtection="0"/>
    <xf numFmtId="0" fontId="10" fillId="8" borderId="8" applyNumberFormat="0" applyFont="0" applyAlignment="0" applyProtection="0"/>
    <xf numFmtId="0" fontId="10" fillId="8" borderId="8" applyNumberFormat="0" applyFont="0" applyAlignment="0" applyProtection="0"/>
    <xf numFmtId="0" fontId="17" fillId="8" borderId="8" applyNumberFormat="0" applyFont="0" applyAlignment="0" applyProtection="0"/>
    <xf numFmtId="0" fontId="33" fillId="6" borderId="5" applyNumberFormat="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4" fillId="0" borderId="9" applyNumberFormat="0" applyFill="0" applyAlignment="0" applyProtection="0"/>
    <xf numFmtId="0" fontId="35" fillId="0" borderId="0" applyNumberFormat="0" applyFill="0" applyBorder="0" applyAlignment="0" applyProtection="0"/>
    <xf numFmtId="0" fontId="37" fillId="0" borderId="0"/>
    <xf numFmtId="43" fontId="10" fillId="0" borderId="0" applyFont="0" applyFill="0" applyBorder="0" applyAlignment="0" applyProtection="0"/>
    <xf numFmtId="9" fontId="10" fillId="0" borderId="0" applyFont="0" applyFill="0" applyBorder="0" applyAlignment="0" applyProtection="0"/>
    <xf numFmtId="0" fontId="8" fillId="0" borderId="0"/>
    <xf numFmtId="0" fontId="38" fillId="0" borderId="0"/>
    <xf numFmtId="0" fontId="5" fillId="0" borderId="0" applyNumberFormat="0" applyFill="0" applyBorder="0" applyAlignment="0" applyProtection="0"/>
    <xf numFmtId="0" fontId="10" fillId="0" borderId="0"/>
    <xf numFmtId="0" fontId="39" fillId="0" borderId="0" applyNumberFormat="0" applyFill="0" applyBorder="0" applyAlignment="0" applyProtection="0"/>
    <xf numFmtId="0" fontId="40" fillId="0" borderId="0"/>
    <xf numFmtId="0" fontId="17" fillId="0" borderId="0"/>
    <xf numFmtId="0" fontId="41" fillId="0" borderId="0"/>
    <xf numFmtId="0" fontId="17" fillId="8" borderId="8" applyNumberFormat="0" applyFont="0" applyAlignment="0" applyProtection="0"/>
    <xf numFmtId="44" fontId="3" fillId="0" borderId="0" applyFont="0" applyFill="0" applyBorder="0" applyAlignment="0" applyProtection="0"/>
    <xf numFmtId="0" fontId="42" fillId="0" borderId="0" applyNumberFormat="0" applyFill="0" applyBorder="0" applyAlignment="0" applyProtection="0"/>
    <xf numFmtId="0" fontId="5" fillId="0" borderId="0" applyNumberFormat="0" applyFill="0" applyBorder="0" applyAlignment="0" applyProtection="0"/>
    <xf numFmtId="0" fontId="3" fillId="0" borderId="0"/>
    <xf numFmtId="0" fontId="10" fillId="0" borderId="0"/>
    <xf numFmtId="0" fontId="43" fillId="0" borderId="0"/>
    <xf numFmtId="0" fontId="47" fillId="0" borderId="0" applyNumberFormat="0" applyFill="0" applyBorder="0" applyAlignment="0" applyProtection="0"/>
    <xf numFmtId="0" fontId="3" fillId="0" borderId="0"/>
  </cellStyleXfs>
  <cellXfs count="284">
    <xf numFmtId="0" fontId="0" fillId="0" borderId="0" xfId="0"/>
    <xf numFmtId="0" fontId="1" fillId="0" borderId="0" xfId="0" applyFont="1"/>
    <xf numFmtId="3" fontId="8" fillId="0" borderId="0" xfId="0" applyNumberFormat="1" applyFont="1"/>
    <xf numFmtId="1" fontId="1" fillId="0" borderId="0" xfId="0" applyNumberFormat="1" applyFont="1"/>
    <xf numFmtId="0" fontId="8" fillId="0" borderId="0" xfId="0" applyFont="1" applyAlignment="1">
      <alignment horizontal="left"/>
    </xf>
    <xf numFmtId="167" fontId="1" fillId="0" borderId="0" xfId="313" applyNumberFormat="1" applyFont="1"/>
    <xf numFmtId="167" fontId="1" fillId="0" borderId="0" xfId="313" applyNumberFormat="1" applyFont="1" applyAlignment="1">
      <alignment horizontal="right"/>
    </xf>
    <xf numFmtId="169" fontId="8" fillId="0" borderId="0" xfId="0" applyNumberFormat="1" applyFont="1"/>
    <xf numFmtId="164" fontId="8" fillId="0" borderId="0" xfId="0" applyNumberFormat="1" applyFont="1"/>
    <xf numFmtId="1" fontId="8" fillId="0" borderId="0" xfId="316" applyNumberFormat="1" applyFont="1"/>
    <xf numFmtId="0" fontId="8" fillId="0" borderId="11" xfId="316" applyFont="1" applyBorder="1"/>
    <xf numFmtId="167" fontId="1" fillId="0" borderId="0" xfId="0" applyNumberFormat="1" applyFont="1"/>
    <xf numFmtId="49" fontId="1" fillId="0" borderId="0" xfId="0" applyNumberFormat="1" applyFont="1"/>
    <xf numFmtId="49" fontId="7" fillId="0" borderId="0" xfId="0" applyNumberFormat="1" applyFont="1"/>
    <xf numFmtId="164" fontId="1" fillId="0" borderId="0" xfId="0" applyNumberFormat="1" applyFont="1"/>
    <xf numFmtId="3" fontId="8" fillId="0" borderId="0" xfId="0" applyNumberFormat="1" applyFont="1" applyAlignment="1">
      <alignment horizontal="right"/>
    </xf>
    <xf numFmtId="0" fontId="7" fillId="0" borderId="0" xfId="0" applyFont="1"/>
    <xf numFmtId="167" fontId="7" fillId="0" borderId="0" xfId="313" applyNumberFormat="1" applyFont="1"/>
    <xf numFmtId="3" fontId="9" fillId="0" borderId="10" xfId="0" applyNumberFormat="1" applyFont="1" applyBorder="1"/>
    <xf numFmtId="49" fontId="9" fillId="0" borderId="0" xfId="0" applyNumberFormat="1" applyFont="1"/>
    <xf numFmtId="172" fontId="8" fillId="0" borderId="0" xfId="0" applyNumberFormat="1" applyFont="1"/>
    <xf numFmtId="167" fontId="1" fillId="0" borderId="0" xfId="313" applyNumberFormat="1" applyFont="1" applyBorder="1"/>
    <xf numFmtId="174" fontId="1" fillId="0" borderId="0" xfId="313" applyNumberFormat="1" applyFont="1"/>
    <xf numFmtId="174" fontId="7" fillId="0" borderId="0" xfId="313" applyNumberFormat="1" applyFont="1"/>
    <xf numFmtId="174" fontId="1" fillId="0" borderId="10" xfId="313" applyNumberFormat="1" applyFont="1" applyBorder="1"/>
    <xf numFmtId="167" fontId="1" fillId="0" borderId="0" xfId="313" applyNumberFormat="1" applyFont="1" applyFill="1"/>
    <xf numFmtId="167" fontId="1" fillId="0" borderId="0" xfId="313" applyNumberFormat="1" applyFont="1" applyFill="1" applyAlignment="1">
      <alignment horizontal="right"/>
    </xf>
    <xf numFmtId="167" fontId="7" fillId="0" borderId="0" xfId="313" applyNumberFormat="1" applyFont="1" applyFill="1"/>
    <xf numFmtId="0" fontId="12" fillId="0" borderId="0" xfId="5" applyFont="1" applyAlignment="1">
      <alignment horizontal="left" vertical="center" wrapText="1"/>
    </xf>
    <xf numFmtId="0" fontId="8" fillId="0" borderId="0" xfId="0" applyFont="1" applyAlignment="1">
      <alignment vertical="center"/>
    </xf>
    <xf numFmtId="0" fontId="9" fillId="0" borderId="0" xfId="7" applyFont="1" applyAlignment="1">
      <alignment vertical="center"/>
    </xf>
    <xf numFmtId="0" fontId="9" fillId="0" borderId="0" xfId="0" applyFont="1" applyAlignment="1">
      <alignment vertical="center"/>
    </xf>
    <xf numFmtId="0" fontId="8" fillId="0" borderId="0" xfId="7" applyFont="1" applyAlignment="1">
      <alignment horizontal="center" vertical="center"/>
    </xf>
    <xf numFmtId="49" fontId="8" fillId="0" borderId="0" xfId="0" applyNumberFormat="1" applyFont="1" applyAlignment="1">
      <alignment vertical="center"/>
    </xf>
    <xf numFmtId="49" fontId="8" fillId="0" borderId="0" xfId="7" applyNumberFormat="1" applyFont="1" applyAlignment="1">
      <alignment horizontal="center" vertical="center"/>
    </xf>
    <xf numFmtId="49" fontId="8" fillId="0" borderId="0" xfId="7" applyNumberFormat="1" applyFont="1" applyAlignment="1">
      <alignment horizontal="center"/>
    </xf>
    <xf numFmtId="49" fontId="8" fillId="0" borderId="0" xfId="7" applyNumberFormat="1" applyFont="1"/>
    <xf numFmtId="0" fontId="8" fillId="0" borderId="0" xfId="7" applyFont="1" applyAlignment="1">
      <alignment horizontal="left" vertical="center"/>
    </xf>
    <xf numFmtId="3" fontId="8" fillId="0" borderId="0" xfId="313" applyNumberFormat="1" applyFont="1" applyFill="1" applyBorder="1" applyAlignment="1">
      <alignment horizontal="right"/>
    </xf>
    <xf numFmtId="172" fontId="8" fillId="0" borderId="0" xfId="0" applyNumberFormat="1" applyFont="1" applyAlignment="1">
      <alignment horizontal="right"/>
    </xf>
    <xf numFmtId="165" fontId="8" fillId="0" borderId="0" xfId="0" applyNumberFormat="1" applyFont="1" applyAlignment="1">
      <alignment horizontal="right"/>
    </xf>
    <xf numFmtId="0" fontId="8" fillId="0" borderId="0" xfId="0" applyFont="1" applyAlignment="1">
      <alignment horizontal="left" vertical="center"/>
    </xf>
    <xf numFmtId="0" fontId="9" fillId="0" borderId="0" xfId="7" applyFont="1" applyAlignment="1">
      <alignment horizontal="center" vertical="center"/>
    </xf>
    <xf numFmtId="3" fontId="8" fillId="0" borderId="0" xfId="7" applyNumberFormat="1" applyFont="1" applyAlignment="1">
      <alignment horizontal="center" vertical="center"/>
    </xf>
    <xf numFmtId="1" fontId="8" fillId="0" borderId="0" xfId="0" applyNumberFormat="1" applyFont="1" applyAlignment="1">
      <alignment horizontal="right"/>
    </xf>
    <xf numFmtId="0" fontId="8" fillId="0" borderId="10" xfId="0" applyFont="1" applyBorder="1" applyAlignment="1">
      <alignment horizontal="left" vertical="center"/>
    </xf>
    <xf numFmtId="3" fontId="8" fillId="0" borderId="10" xfId="313" applyNumberFormat="1" applyFont="1" applyFill="1" applyBorder="1" applyAlignment="1">
      <alignment horizontal="right"/>
    </xf>
    <xf numFmtId="172" fontId="8" fillId="0" borderId="10" xfId="0" applyNumberFormat="1" applyFont="1" applyBorder="1" applyAlignment="1">
      <alignment horizontal="right"/>
    </xf>
    <xf numFmtId="165" fontId="8" fillId="0" borderId="10" xfId="0" applyNumberFormat="1" applyFont="1" applyBorder="1" applyAlignment="1">
      <alignment horizontal="right"/>
    </xf>
    <xf numFmtId="3" fontId="8" fillId="0" borderId="0" xfId="0" applyNumberFormat="1" applyFont="1" applyAlignment="1">
      <alignment vertical="center"/>
    </xf>
    <xf numFmtId="165" fontId="1" fillId="0" borderId="0" xfId="0" applyNumberFormat="1" applyFont="1"/>
    <xf numFmtId="0" fontId="1" fillId="0" borderId="0" xfId="0" applyFont="1" applyAlignment="1">
      <alignment wrapText="1"/>
    </xf>
    <xf numFmtId="3" fontId="8" fillId="0" borderId="10" xfId="0" applyNumberFormat="1" applyFont="1" applyBorder="1"/>
    <xf numFmtId="0" fontId="7" fillId="0" borderId="0" xfId="0" applyFont="1" applyAlignment="1">
      <alignment horizontal="left"/>
    </xf>
    <xf numFmtId="0" fontId="1" fillId="0" borderId="10" xfId="0" applyFont="1" applyBorder="1" applyAlignment="1">
      <alignment horizontal="right" wrapText="1"/>
    </xf>
    <xf numFmtId="0" fontId="8" fillId="0" borderId="0" xfId="190" applyFont="1" applyAlignment="1">
      <alignment horizontal="left" vertical="center"/>
    </xf>
    <xf numFmtId="3" fontId="9" fillId="0" borderId="0" xfId="0" applyNumberFormat="1" applyFont="1" applyAlignment="1">
      <alignment horizontal="left"/>
    </xf>
    <xf numFmtId="0" fontId="9" fillId="0" borderId="0" xfId="315" applyFont="1" applyAlignment="1">
      <alignment horizontal="left"/>
    </xf>
    <xf numFmtId="0" fontId="9" fillId="0" borderId="10" xfId="7" applyFont="1" applyBorder="1" applyAlignment="1">
      <alignment horizontal="left"/>
    </xf>
    <xf numFmtId="170" fontId="9" fillId="0" borderId="0" xfId="316" applyNumberFormat="1" applyFont="1" applyAlignment="1">
      <alignment horizontal="left"/>
    </xf>
    <xf numFmtId="0" fontId="44" fillId="0" borderId="0" xfId="0" applyFont="1"/>
    <xf numFmtId="3" fontId="1" fillId="0" borderId="0" xfId="0" applyNumberFormat="1" applyFont="1"/>
    <xf numFmtId="0" fontId="46" fillId="0" borderId="0" xfId="10" applyFont="1"/>
    <xf numFmtId="165" fontId="46" fillId="0" borderId="0" xfId="10" applyNumberFormat="1" applyFont="1"/>
    <xf numFmtId="170" fontId="48" fillId="0" borderId="0" xfId="316" applyNumberFormat="1" applyFont="1" applyAlignment="1">
      <alignment horizontal="left"/>
    </xf>
    <xf numFmtId="0" fontId="46" fillId="0" borderId="10" xfId="316" applyFont="1" applyBorder="1"/>
    <xf numFmtId="0" fontId="46" fillId="0" borderId="0" xfId="316" applyFont="1"/>
    <xf numFmtId="171" fontId="46" fillId="0" borderId="0" xfId="316" applyNumberFormat="1" applyFont="1"/>
    <xf numFmtId="170" fontId="46" fillId="0" borderId="0" xfId="316" applyNumberFormat="1" applyFont="1"/>
    <xf numFmtId="0" fontId="46" fillId="0" borderId="0" xfId="0" applyFont="1" applyAlignment="1">
      <alignment horizontal="right"/>
    </xf>
    <xf numFmtId="0" fontId="46" fillId="0" borderId="10" xfId="0" applyFont="1" applyBorder="1"/>
    <xf numFmtId="1" fontId="46" fillId="0" borderId="0" xfId="316" applyNumberFormat="1" applyFont="1"/>
    <xf numFmtId="164" fontId="46" fillId="0" borderId="0" xfId="316" applyNumberFormat="1" applyFont="1"/>
    <xf numFmtId="0" fontId="46" fillId="0" borderId="0" xfId="0" applyFont="1"/>
    <xf numFmtId="164" fontId="46" fillId="0" borderId="0" xfId="7" applyNumberFormat="1" applyFont="1" applyAlignment="1">
      <alignment horizontal="right"/>
    </xf>
    <xf numFmtId="0" fontId="8" fillId="0" borderId="0" xfId="0" applyFont="1" applyAlignment="1">
      <alignment horizontal="right"/>
    </xf>
    <xf numFmtId="0" fontId="48" fillId="0" borderId="0" xfId="0" applyFont="1"/>
    <xf numFmtId="0" fontId="46" fillId="0" borderId="10" xfId="0" applyFont="1" applyBorder="1" applyAlignment="1">
      <alignment horizontal="right"/>
    </xf>
    <xf numFmtId="165" fontId="46" fillId="0" borderId="0" xfId="0" applyNumberFormat="1" applyFont="1" applyAlignment="1">
      <alignment horizontal="right"/>
    </xf>
    <xf numFmtId="1" fontId="46" fillId="0" borderId="0" xfId="0" applyNumberFormat="1" applyFont="1" applyAlignment="1">
      <alignment horizontal="right"/>
    </xf>
    <xf numFmtId="3" fontId="46" fillId="0" borderId="0" xfId="313" applyNumberFormat="1" applyFont="1" applyFill="1" applyAlignment="1">
      <alignment horizontal="right"/>
    </xf>
    <xf numFmtId="0" fontId="46" fillId="0" borderId="10" xfId="0" applyFont="1" applyBorder="1" applyAlignment="1">
      <alignment horizontal="left" indent="2"/>
    </xf>
    <xf numFmtId="176" fontId="46" fillId="0" borderId="10" xfId="0" applyNumberFormat="1" applyFont="1" applyBorder="1" applyAlignment="1">
      <alignment horizontal="right" vertical="top" wrapText="1"/>
    </xf>
    <xf numFmtId="3" fontId="46" fillId="0" borderId="10" xfId="0" applyNumberFormat="1" applyFont="1" applyBorder="1" applyAlignment="1">
      <alignment horizontal="right"/>
    </xf>
    <xf numFmtId="0" fontId="46" fillId="0" borderId="0" xfId="7" applyFont="1" applyAlignment="1">
      <alignment vertical="center"/>
    </xf>
    <xf numFmtId="0" fontId="48" fillId="0" borderId="10" xfId="7" applyFont="1" applyBorder="1" applyAlignment="1">
      <alignment horizontal="left"/>
    </xf>
    <xf numFmtId="49" fontId="46" fillId="0" borderId="0" xfId="7" applyNumberFormat="1" applyFont="1" applyAlignment="1">
      <alignment vertical="center"/>
    </xf>
    <xf numFmtId="49" fontId="46" fillId="0" borderId="10" xfId="7" applyNumberFormat="1" applyFont="1" applyBorder="1" applyAlignment="1">
      <alignment vertical="center"/>
    </xf>
    <xf numFmtId="167" fontId="46" fillId="0" borderId="0" xfId="313" applyNumberFormat="1" applyFont="1" applyFill="1" applyAlignment="1">
      <alignment vertical="center"/>
    </xf>
    <xf numFmtId="172" fontId="46" fillId="0" borderId="0" xfId="0" applyNumberFormat="1" applyFont="1" applyAlignment="1">
      <alignment horizontal="right"/>
    </xf>
    <xf numFmtId="167" fontId="46" fillId="0" borderId="0" xfId="313" applyNumberFormat="1" applyFont="1" applyFill="1" applyBorder="1" applyAlignment="1">
      <alignment horizontal="center" vertical="center"/>
    </xf>
    <xf numFmtId="0" fontId="46" fillId="0" borderId="0" xfId="0" applyFont="1" applyAlignment="1">
      <alignment horizontal="left" vertical="center"/>
    </xf>
    <xf numFmtId="0" fontId="46" fillId="0" borderId="0" xfId="0" applyFont="1" applyAlignment="1">
      <alignment vertical="center"/>
    </xf>
    <xf numFmtId="167" fontId="46" fillId="0" borderId="0" xfId="313" applyNumberFormat="1" applyFont="1" applyFill="1" applyBorder="1" applyAlignment="1">
      <alignment horizontal="right"/>
    </xf>
    <xf numFmtId="167" fontId="46" fillId="0" borderId="10" xfId="313" applyNumberFormat="1" applyFont="1" applyFill="1" applyBorder="1" applyAlignment="1">
      <alignment horizontal="right"/>
    </xf>
    <xf numFmtId="0" fontId="46" fillId="0" borderId="10" xfId="0" applyFont="1" applyBorder="1" applyAlignment="1">
      <alignment vertical="center"/>
    </xf>
    <xf numFmtId="1" fontId="46" fillId="0" borderId="0" xfId="0" applyNumberFormat="1" applyFont="1"/>
    <xf numFmtId="164" fontId="46" fillId="0" borderId="0" xfId="0" applyNumberFormat="1" applyFont="1" applyAlignment="1">
      <alignment vertical="center"/>
    </xf>
    <xf numFmtId="0" fontId="8" fillId="0" borderId="19" xfId="0" applyFont="1" applyBorder="1" applyAlignment="1">
      <alignment horizontal="left"/>
    </xf>
    <xf numFmtId="0" fontId="8" fillId="0" borderId="12" xfId="0" applyFont="1" applyBorder="1" applyAlignment="1">
      <alignment horizontal="right"/>
    </xf>
    <xf numFmtId="0" fontId="8" fillId="0" borderId="20" xfId="0" applyFont="1" applyBorder="1" applyAlignment="1">
      <alignment horizontal="right"/>
    </xf>
    <xf numFmtId="0" fontId="8" fillId="0" borderId="10" xfId="0" applyFont="1" applyBorder="1" applyAlignment="1">
      <alignment horizontal="right"/>
    </xf>
    <xf numFmtId="0" fontId="8" fillId="0" borderId="16" xfId="0" applyFont="1" applyBorder="1" applyAlignment="1">
      <alignment horizontal="right"/>
    </xf>
    <xf numFmtId="165" fontId="8" fillId="0" borderId="13" xfId="0" applyNumberFormat="1" applyFont="1" applyBorder="1" applyAlignment="1">
      <alignment horizontal="right"/>
    </xf>
    <xf numFmtId="165" fontId="8" fillId="0" borderId="17" xfId="0" applyNumberFormat="1" applyFont="1" applyBorder="1" applyAlignment="1">
      <alignment horizontal="right"/>
    </xf>
    <xf numFmtId="165" fontId="8" fillId="0" borderId="14" xfId="0" applyNumberFormat="1" applyFont="1" applyBorder="1" applyAlignment="1">
      <alignment horizontal="right"/>
    </xf>
    <xf numFmtId="165" fontId="12" fillId="0" borderId="0" xfId="0" applyNumberFormat="1" applyFont="1" applyAlignment="1">
      <alignment horizontal="right"/>
    </xf>
    <xf numFmtId="165" fontId="8" fillId="0" borderId="15" xfId="0" applyNumberFormat="1" applyFont="1" applyBorder="1" applyAlignment="1">
      <alignment horizontal="right"/>
    </xf>
    <xf numFmtId="165" fontId="8" fillId="0" borderId="16" xfId="0" applyNumberFormat="1" applyFont="1" applyBorder="1" applyAlignment="1">
      <alignment horizontal="right"/>
    </xf>
    <xf numFmtId="165" fontId="8" fillId="0" borderId="18" xfId="0" applyNumberFormat="1" applyFont="1" applyBorder="1" applyAlignment="1">
      <alignment horizontal="right"/>
    </xf>
    <xf numFmtId="0" fontId="8" fillId="0" borderId="10" xfId="0" applyFont="1" applyBorder="1" applyAlignment="1">
      <alignment wrapText="1"/>
    </xf>
    <xf numFmtId="0" fontId="8" fillId="0" borderId="15" xfId="0" applyFont="1" applyBorder="1" applyAlignment="1">
      <alignment horizontal="right"/>
    </xf>
    <xf numFmtId="175" fontId="8" fillId="0" borderId="0" xfId="0" applyNumberFormat="1" applyFont="1" applyAlignment="1">
      <alignment horizontal="right" vertical="top" wrapText="1"/>
    </xf>
    <xf numFmtId="3" fontId="8" fillId="0" borderId="0" xfId="313" applyNumberFormat="1" applyFont="1" applyFill="1" applyAlignment="1">
      <alignment horizontal="right"/>
    </xf>
    <xf numFmtId="0" fontId="8" fillId="0" borderId="0" xfId="0" applyFont="1" applyAlignment="1">
      <alignment horizontal="left" indent="2"/>
    </xf>
    <xf numFmtId="0" fontId="46" fillId="0" borderId="0" xfId="0" applyFont="1" applyAlignment="1">
      <alignment horizontal="left"/>
    </xf>
    <xf numFmtId="0" fontId="46" fillId="0" borderId="0" xfId="315" applyFont="1"/>
    <xf numFmtId="0" fontId="46" fillId="0" borderId="0" xfId="315" applyFont="1" applyAlignment="1">
      <alignment horizontal="right"/>
    </xf>
    <xf numFmtId="172" fontId="1" fillId="0" borderId="0" xfId="0" applyNumberFormat="1" applyFont="1"/>
    <xf numFmtId="172" fontId="1" fillId="33" borderId="0" xfId="0" applyNumberFormat="1" applyFont="1" applyFill="1"/>
    <xf numFmtId="165" fontId="1" fillId="0" borderId="0" xfId="0" applyNumberFormat="1" applyFont="1" applyAlignment="1">
      <alignment vertical="center"/>
    </xf>
    <xf numFmtId="165" fontId="1" fillId="33" borderId="0" xfId="0" applyNumberFormat="1" applyFont="1" applyFill="1" applyAlignment="1">
      <alignment vertical="center"/>
    </xf>
    <xf numFmtId="165" fontId="7" fillId="0" borderId="0" xfId="0" applyNumberFormat="1" applyFont="1" applyAlignment="1">
      <alignment vertical="center"/>
    </xf>
    <xf numFmtId="165" fontId="7" fillId="33" borderId="0" xfId="0" applyNumberFormat="1" applyFont="1" applyFill="1" applyAlignment="1">
      <alignment vertical="center"/>
    </xf>
    <xf numFmtId="172" fontId="1" fillId="0" borderId="10" xfId="0" applyNumberFormat="1" applyFont="1" applyBorder="1"/>
    <xf numFmtId="172" fontId="1" fillId="33" borderId="10" xfId="0" applyNumberFormat="1" applyFont="1" applyFill="1" applyBorder="1"/>
    <xf numFmtId="49" fontId="8" fillId="0" borderId="0" xfId="0" applyNumberFormat="1" applyFont="1"/>
    <xf numFmtId="49" fontId="8" fillId="0" borderId="0" xfId="0" applyNumberFormat="1" applyFont="1" applyAlignment="1">
      <alignment horizontal="right"/>
    </xf>
    <xf numFmtId="0" fontId="12" fillId="0" borderId="0" xfId="0" applyFont="1" applyAlignment="1">
      <alignment horizontal="right"/>
    </xf>
    <xf numFmtId="0" fontId="12" fillId="0" borderId="0" xfId="0" applyFont="1"/>
    <xf numFmtId="166" fontId="8" fillId="0" borderId="0" xfId="0" applyNumberFormat="1" applyFont="1"/>
    <xf numFmtId="166" fontId="46" fillId="0" borderId="0" xfId="0" applyNumberFormat="1" applyFont="1"/>
    <xf numFmtId="166" fontId="50" fillId="0" borderId="0" xfId="7" applyNumberFormat="1" applyFont="1" applyAlignment="1">
      <alignment horizontal="right"/>
    </xf>
    <xf numFmtId="0" fontId="1" fillId="0" borderId="10" xfId="0" applyFont="1" applyBorder="1"/>
    <xf numFmtId="0" fontId="1" fillId="0" borderId="12" xfId="0" applyFont="1" applyBorder="1"/>
    <xf numFmtId="0" fontId="8" fillId="0" borderId="10" xfId="0" applyFont="1" applyBorder="1" applyAlignment="1">
      <alignment horizontal="right" wrapText="1"/>
    </xf>
    <xf numFmtId="168" fontId="8" fillId="0" borderId="0" xfId="0" applyNumberFormat="1" applyFont="1" applyAlignment="1">
      <alignment horizontal="right"/>
    </xf>
    <xf numFmtId="0" fontId="8" fillId="0" borderId="10" xfId="316" applyFont="1" applyBorder="1"/>
    <xf numFmtId="0" fontId="8" fillId="0" borderId="0" xfId="7" applyFont="1" applyAlignment="1">
      <alignment horizontal="left" indent="1"/>
    </xf>
    <xf numFmtId="1" fontId="8" fillId="0" borderId="0" xfId="316" applyNumberFormat="1" applyFont="1" applyAlignment="1">
      <alignment horizontal="left" indent="2"/>
    </xf>
    <xf numFmtId="165" fontId="8" fillId="0" borderId="0" xfId="7" applyNumberFormat="1" applyFont="1" applyAlignment="1">
      <alignment horizontal="left" indent="2"/>
    </xf>
    <xf numFmtId="165" fontId="8" fillId="0" borderId="0" xfId="7" applyNumberFormat="1" applyFont="1" applyAlignment="1">
      <alignment horizontal="left" indent="3"/>
    </xf>
    <xf numFmtId="165" fontId="8" fillId="0" borderId="0" xfId="7" applyNumberFormat="1" applyFont="1" applyAlignment="1">
      <alignment horizontal="left" indent="4"/>
    </xf>
    <xf numFmtId="0" fontId="9" fillId="0" borderId="10" xfId="0" applyFont="1" applyBorder="1" applyAlignment="1">
      <alignment horizontal="left" indent="1"/>
    </xf>
    <xf numFmtId="0" fontId="1" fillId="0" borderId="0" xfId="0" applyFont="1" applyAlignment="1">
      <alignment horizontal="left" indent="1"/>
    </xf>
    <xf numFmtId="0" fontId="1" fillId="0" borderId="0" xfId="0" applyFont="1" applyAlignment="1">
      <alignment horizontal="left" indent="2"/>
    </xf>
    <xf numFmtId="0" fontId="8" fillId="0" borderId="0" xfId="0" applyFont="1" applyAlignment="1">
      <alignment horizontal="left" indent="1"/>
    </xf>
    <xf numFmtId="3" fontId="8" fillId="0" borderId="0" xfId="0" applyNumberFormat="1" applyFont="1" applyAlignment="1">
      <alignment horizontal="left" indent="2"/>
    </xf>
    <xf numFmtId="0" fontId="9" fillId="0" borderId="10" xfId="0" applyFont="1" applyBorder="1" applyAlignment="1">
      <alignment horizontal="left" indent="3"/>
    </xf>
    <xf numFmtId="3" fontId="8" fillId="0" borderId="0" xfId="7" applyNumberFormat="1" applyFont="1" applyAlignment="1">
      <alignment vertical="center"/>
    </xf>
    <xf numFmtId="3" fontId="8" fillId="0" borderId="0" xfId="313" applyNumberFormat="1" applyFont="1" applyFill="1" applyAlignment="1">
      <alignment vertical="center"/>
    </xf>
    <xf numFmtId="3" fontId="8" fillId="0" borderId="0" xfId="313" applyNumberFormat="1" applyFont="1" applyFill="1" applyBorder="1" applyAlignment="1">
      <alignment horizontal="center" vertical="center"/>
    </xf>
    <xf numFmtId="3" fontId="8" fillId="0" borderId="0" xfId="7" applyNumberFormat="1" applyFont="1" applyAlignment="1">
      <alignment horizontal="right" vertical="center"/>
    </xf>
    <xf numFmtId="3" fontId="9" fillId="0" borderId="0" xfId="0" applyNumberFormat="1" applyFont="1" applyAlignment="1">
      <alignment vertical="center"/>
    </xf>
    <xf numFmtId="3" fontId="8" fillId="0" borderId="10" xfId="0" applyNumberFormat="1" applyFont="1" applyBorder="1" applyAlignment="1">
      <alignment horizontal="right"/>
    </xf>
    <xf numFmtId="3" fontId="8" fillId="0" borderId="10" xfId="0" applyNumberFormat="1" applyFont="1" applyBorder="1" applyAlignment="1">
      <alignment vertical="center"/>
    </xf>
    <xf numFmtId="49" fontId="8" fillId="0" borderId="0" xfId="0" applyNumberFormat="1" applyFont="1" applyAlignment="1">
      <alignment horizontal="center" vertical="center"/>
    </xf>
    <xf numFmtId="176" fontId="8" fillId="0" borderId="0" xfId="0" applyNumberFormat="1" applyFont="1" applyAlignment="1">
      <alignment horizontal="right" vertical="top" wrapText="1"/>
    </xf>
    <xf numFmtId="175" fontId="46" fillId="0" borderId="0" xfId="0" applyNumberFormat="1" applyFont="1" applyAlignment="1">
      <alignment horizontal="right"/>
    </xf>
    <xf numFmtId="3" fontId="49" fillId="0" borderId="0" xfId="0" applyNumberFormat="1" applyFont="1"/>
    <xf numFmtId="3" fontId="49" fillId="0" borderId="0" xfId="0" applyNumberFormat="1" applyFont="1" applyAlignment="1">
      <alignment horizontal="right"/>
    </xf>
    <xf numFmtId="3" fontId="9" fillId="0" borderId="10" xfId="0" applyNumberFormat="1" applyFont="1" applyBorder="1" applyAlignment="1">
      <alignment horizontal="right"/>
    </xf>
    <xf numFmtId="3" fontId="8" fillId="0" borderId="0" xfId="7" applyNumberFormat="1" applyFont="1" applyAlignment="1">
      <alignment horizontal="right"/>
    </xf>
    <xf numFmtId="172" fontId="8" fillId="0" borderId="0" xfId="7" applyNumberFormat="1" applyFont="1" applyAlignment="1">
      <alignment horizontal="right"/>
    </xf>
    <xf numFmtId="170" fontId="8" fillId="0" borderId="0" xfId="316" applyNumberFormat="1" applyFont="1"/>
    <xf numFmtId="164" fontId="46" fillId="0" borderId="0" xfId="0" applyNumberFormat="1" applyFont="1"/>
    <xf numFmtId="1" fontId="46" fillId="0" borderId="10" xfId="0" applyNumberFormat="1" applyFont="1" applyBorder="1"/>
    <xf numFmtId="0" fontId="8" fillId="0" borderId="0" xfId="10" applyFont="1"/>
    <xf numFmtId="43" fontId="48" fillId="0" borderId="0" xfId="313" applyFont="1" applyFill="1" applyBorder="1" applyAlignment="1">
      <alignment horizontal="right"/>
    </xf>
    <xf numFmtId="3" fontId="9" fillId="0" borderId="10" xfId="7" applyNumberFormat="1" applyFont="1" applyBorder="1" applyAlignment="1">
      <alignment horizontal="right"/>
    </xf>
    <xf numFmtId="0" fontId="1" fillId="0" borderId="0" xfId="0" quotePrefix="1" applyFont="1" applyAlignment="1">
      <alignment horizontal="center"/>
    </xf>
    <xf numFmtId="43" fontId="1" fillId="0" borderId="0" xfId="0" applyNumberFormat="1" applyFont="1"/>
    <xf numFmtId="0" fontId="55" fillId="0" borderId="0" xfId="0" applyFont="1"/>
    <xf numFmtId="0" fontId="55" fillId="0" borderId="12" xfId="0" applyFont="1" applyBorder="1"/>
    <xf numFmtId="0" fontId="56" fillId="0" borderId="0" xfId="0" applyFont="1" applyAlignment="1">
      <alignment vertical="center" wrapText="1"/>
    </xf>
    <xf numFmtId="164" fontId="8" fillId="0" borderId="0" xfId="0" applyNumberFormat="1" applyFont="1" applyAlignment="1">
      <alignment horizontal="right"/>
    </xf>
    <xf numFmtId="177" fontId="46" fillId="0" borderId="0" xfId="0" applyNumberFormat="1" applyFont="1" applyAlignment="1">
      <alignment horizontal="right"/>
    </xf>
    <xf numFmtId="0" fontId="8" fillId="0" borderId="0" xfId="0" applyFont="1"/>
    <xf numFmtId="0" fontId="9" fillId="0" borderId="0" xfId="0" applyFont="1"/>
    <xf numFmtId="0" fontId="8" fillId="0" borderId="10" xfId="0" applyFont="1" applyBorder="1"/>
    <xf numFmtId="0" fontId="8" fillId="0" borderId="12" xfId="0" applyFont="1" applyBorder="1"/>
    <xf numFmtId="0" fontId="8" fillId="0" borderId="10" xfId="0" applyFont="1" applyBorder="1" applyAlignment="1">
      <alignment horizontal="center"/>
    </xf>
    <xf numFmtId="3" fontId="8" fillId="0" borderId="0" xfId="0" applyNumberFormat="1" applyFont="1" applyAlignment="1">
      <alignment horizontal="center"/>
    </xf>
    <xf numFmtId="0" fontId="8" fillId="0" borderId="0" xfId="0" applyFont="1" applyAlignment="1">
      <alignment horizontal="left" wrapText="1"/>
    </xf>
    <xf numFmtId="49" fontId="8" fillId="0" borderId="10" xfId="7" applyNumberFormat="1" applyFont="1" applyBorder="1" applyAlignment="1">
      <alignment horizontal="center" vertical="center"/>
    </xf>
    <xf numFmtId="0" fontId="8" fillId="0" borderId="0" xfId="7" applyFont="1" applyAlignment="1">
      <alignment vertical="center"/>
    </xf>
    <xf numFmtId="0" fontId="8" fillId="0" borderId="0" xfId="7" applyFont="1" applyAlignment="1">
      <alignment horizontal="left"/>
    </xf>
    <xf numFmtId="0" fontId="8" fillId="0" borderId="0" xfId="0" applyFont="1" applyAlignment="1">
      <alignment wrapText="1"/>
    </xf>
    <xf numFmtId="0" fontId="8" fillId="0" borderId="0" xfId="0" applyFont="1" applyAlignment="1">
      <alignment horizontal="center"/>
    </xf>
    <xf numFmtId="0" fontId="54" fillId="0" borderId="0" xfId="0" applyFont="1" applyAlignment="1">
      <alignment vertical="center" wrapText="1"/>
    </xf>
    <xf numFmtId="0" fontId="1" fillId="0" borderId="0" xfId="0" applyFont="1" applyAlignment="1">
      <alignment horizontal="left"/>
    </xf>
    <xf numFmtId="0" fontId="1" fillId="0" borderId="12" xfId="0" quotePrefix="1" applyFont="1" applyBorder="1" applyAlignment="1">
      <alignment horizontal="center"/>
    </xf>
    <xf numFmtId="49" fontId="8" fillId="0" borderId="10" xfId="0" applyNumberFormat="1" applyFont="1" applyBorder="1"/>
    <xf numFmtId="49" fontId="8" fillId="0" borderId="0" xfId="0" applyNumberFormat="1" applyFont="1" applyAlignment="1">
      <alignment horizontal="left" indent="2"/>
    </xf>
    <xf numFmtId="0" fontId="12" fillId="0" borderId="0" xfId="0" applyFont="1" applyAlignment="1">
      <alignment horizontal="left" indent="2"/>
    </xf>
    <xf numFmtId="3" fontId="57" fillId="0" borderId="0" xfId="7" applyNumberFormat="1" applyFont="1" applyAlignment="1">
      <alignment horizontal="right"/>
    </xf>
    <xf numFmtId="3" fontId="57" fillId="0" borderId="0" xfId="0" applyNumberFormat="1" applyFont="1"/>
    <xf numFmtId="3" fontId="58" fillId="0" borderId="0" xfId="0" applyNumberFormat="1" applyFont="1"/>
    <xf numFmtId="170" fontId="9" fillId="0" borderId="10" xfId="316" applyNumberFormat="1" applyFont="1" applyBorder="1" applyAlignment="1">
      <alignment horizontal="left" indent="12"/>
    </xf>
    <xf numFmtId="165" fontId="9" fillId="0" borderId="0" xfId="7" applyNumberFormat="1" applyFont="1" applyAlignment="1">
      <alignment horizontal="left" indent="5"/>
    </xf>
    <xf numFmtId="3" fontId="9" fillId="0" borderId="0" xfId="7" applyNumberFormat="1" applyFont="1" applyAlignment="1">
      <alignment horizontal="right"/>
    </xf>
    <xf numFmtId="3" fontId="9" fillId="0" borderId="0" xfId="0" applyNumberFormat="1" applyFont="1"/>
    <xf numFmtId="1" fontId="7" fillId="0" borderId="0" xfId="0" applyNumberFormat="1" applyFont="1"/>
    <xf numFmtId="165" fontId="9" fillId="0" borderId="0" xfId="7" applyNumberFormat="1" applyFont="1" applyAlignment="1">
      <alignment horizontal="left" indent="6"/>
    </xf>
    <xf numFmtId="3" fontId="7" fillId="0" borderId="0" xfId="0" applyNumberFormat="1" applyFont="1"/>
    <xf numFmtId="167" fontId="59" fillId="0" borderId="0" xfId="313" applyNumberFormat="1" applyFont="1"/>
    <xf numFmtId="0" fontId="7" fillId="0" borderId="0" xfId="0" applyFont="1" applyAlignment="1">
      <alignment horizontal="left" indent="5"/>
    </xf>
    <xf numFmtId="0" fontId="1" fillId="0" borderId="0" xfId="0" applyFont="1" applyAlignment="1">
      <alignment horizontal="left" indent="6"/>
    </xf>
    <xf numFmtId="167" fontId="59" fillId="0" borderId="0" xfId="313" applyNumberFormat="1" applyFont="1" applyFill="1"/>
    <xf numFmtId="174" fontId="59" fillId="0" borderId="0" xfId="313" applyNumberFormat="1" applyFont="1"/>
    <xf numFmtId="0" fontId="1" fillId="0" borderId="10" xfId="0" applyFont="1" applyBorder="1" applyAlignment="1">
      <alignment horizontal="left" indent="6"/>
    </xf>
    <xf numFmtId="165" fontId="58" fillId="0" borderId="0" xfId="0" applyNumberFormat="1" applyFont="1" applyAlignment="1">
      <alignment vertical="center"/>
    </xf>
    <xf numFmtId="165" fontId="58" fillId="33" borderId="0" xfId="0" applyNumberFormat="1" applyFont="1" applyFill="1" applyAlignment="1">
      <alignment vertical="center"/>
    </xf>
    <xf numFmtId="0" fontId="1" fillId="0" borderId="10" xfId="0" applyFont="1" applyBorder="1" applyAlignment="1">
      <alignment horizontal="center"/>
    </xf>
    <xf numFmtId="173" fontId="1" fillId="0" borderId="0" xfId="0" applyNumberFormat="1" applyFont="1"/>
    <xf numFmtId="3" fontId="46" fillId="0" borderId="0" xfId="0" applyNumberFormat="1" applyFont="1"/>
    <xf numFmtId="165" fontId="46" fillId="0" borderId="0" xfId="0" applyNumberFormat="1" applyFont="1"/>
    <xf numFmtId="0" fontId="12" fillId="0" borderId="10" xfId="0" applyFont="1" applyBorder="1"/>
    <xf numFmtId="164" fontId="12" fillId="0" borderId="10" xfId="0" applyNumberFormat="1" applyFont="1" applyBorder="1"/>
    <xf numFmtId="165" fontId="8" fillId="0" borderId="0" xfId="0" applyNumberFormat="1" applyFont="1"/>
    <xf numFmtId="166" fontId="1" fillId="0" borderId="0" xfId="0" applyNumberFormat="1" applyFont="1"/>
    <xf numFmtId="168" fontId="1" fillId="0" borderId="0" xfId="0" applyNumberFormat="1" applyFont="1"/>
    <xf numFmtId="178" fontId="1" fillId="0" borderId="0" xfId="0" applyNumberFormat="1" applyFont="1"/>
    <xf numFmtId="1" fontId="8" fillId="0" borderId="0" xfId="0" applyNumberFormat="1" applyFont="1"/>
    <xf numFmtId="164" fontId="46" fillId="0" borderId="0" xfId="0" applyNumberFormat="1" applyFont="1" applyAlignment="1">
      <alignment horizontal="right"/>
    </xf>
    <xf numFmtId="176" fontId="46" fillId="0" borderId="0" xfId="0" applyNumberFormat="1" applyFont="1" applyAlignment="1">
      <alignment horizontal="right"/>
    </xf>
    <xf numFmtId="165" fontId="46" fillId="0" borderId="10" xfId="0" applyNumberFormat="1" applyFont="1" applyBorder="1" applyAlignment="1">
      <alignment horizontal="right"/>
    </xf>
    <xf numFmtId="179" fontId="1" fillId="0" borderId="0" xfId="0" applyNumberFormat="1" applyFont="1"/>
    <xf numFmtId="9" fontId="1" fillId="0" borderId="0" xfId="314" applyFont="1"/>
    <xf numFmtId="180" fontId="46" fillId="0" borderId="0" xfId="0" applyNumberFormat="1" applyFont="1" applyAlignment="1">
      <alignment horizontal="right"/>
    </xf>
    <xf numFmtId="3" fontId="57" fillId="0" borderId="0" xfId="315" applyNumberFormat="1" applyFont="1" applyAlignment="1">
      <alignment horizontal="right"/>
    </xf>
    <xf numFmtId="37" fontId="1" fillId="0" borderId="0" xfId="313" applyNumberFormat="1" applyFont="1"/>
    <xf numFmtId="3" fontId="57" fillId="0" borderId="0" xfId="0" applyNumberFormat="1" applyFont="1" applyAlignment="1">
      <alignment horizontal="right"/>
    </xf>
    <xf numFmtId="0" fontId="6" fillId="0" borderId="0" xfId="5" applyFill="1"/>
    <xf numFmtId="0" fontId="6" fillId="0" borderId="0" xfId="5" applyFill="1" applyAlignment="1">
      <alignment vertical="center"/>
    </xf>
    <xf numFmtId="0" fontId="6" fillId="0" borderId="0" xfId="5" applyNumberFormat="1" applyFill="1"/>
    <xf numFmtId="49" fontId="6" fillId="0" borderId="0" xfId="5" applyNumberFormat="1" applyFill="1"/>
    <xf numFmtId="0" fontId="6" fillId="0" borderId="0" xfId="5" applyNumberFormat="1" applyFill="1" applyAlignment="1">
      <alignment horizontal="left" indent="2"/>
    </xf>
    <xf numFmtId="0" fontId="6" fillId="0" borderId="0" xfId="5" applyNumberFormat="1"/>
    <xf numFmtId="0" fontId="6" fillId="0" borderId="0" xfId="5" applyAlignment="1">
      <alignment horizontal="left"/>
    </xf>
    <xf numFmtId="0" fontId="8" fillId="0" borderId="10" xfId="315" applyBorder="1" applyAlignment="1">
      <alignment horizontal="left"/>
    </xf>
    <xf numFmtId="3" fontId="8" fillId="0" borderId="0" xfId="315" applyNumberFormat="1" applyAlignment="1">
      <alignment horizontal="right"/>
    </xf>
    <xf numFmtId="0" fontId="6" fillId="0" borderId="0" xfId="5" applyFill="1" applyAlignment="1">
      <alignment horizontal="left"/>
    </xf>
    <xf numFmtId="0" fontId="7" fillId="0" borderId="0" xfId="0" applyFont="1" applyAlignment="1">
      <alignment horizontal="center"/>
    </xf>
    <xf numFmtId="0" fontId="1" fillId="0" borderId="10" xfId="0" applyFont="1" applyBorder="1" applyAlignment="1">
      <alignment horizontal="center"/>
    </xf>
    <xf numFmtId="0" fontId="7" fillId="0" borderId="12" xfId="0" applyFont="1" applyBorder="1" applyAlignment="1">
      <alignment horizontal="center" wrapText="1"/>
    </xf>
    <xf numFmtId="0" fontId="8" fillId="0" borderId="10" xfId="0" applyFont="1" applyBorder="1" applyAlignment="1">
      <alignment horizontal="center"/>
    </xf>
    <xf numFmtId="3" fontId="8" fillId="0" borderId="0" xfId="0" applyNumberFormat="1" applyFont="1" applyAlignment="1">
      <alignment horizontal="center"/>
    </xf>
    <xf numFmtId="0" fontId="8" fillId="0" borderId="0" xfId="0" applyFont="1" applyAlignment="1">
      <alignment horizontal="left" wrapText="1"/>
    </xf>
    <xf numFmtId="0" fontId="1" fillId="0" borderId="0" xfId="0" applyFont="1" applyAlignment="1">
      <alignment horizontal="left" wrapText="1"/>
    </xf>
    <xf numFmtId="0" fontId="8" fillId="0" borderId="10" xfId="316" applyFont="1" applyBorder="1" applyAlignment="1">
      <alignment horizontal="center"/>
    </xf>
    <xf numFmtId="0" fontId="8" fillId="0" borderId="0" xfId="7" applyFont="1" applyAlignment="1">
      <alignment horizontal="left" wrapText="1"/>
    </xf>
    <xf numFmtId="0" fontId="8" fillId="0" borderId="0" xfId="7" applyFont="1" applyAlignment="1">
      <alignment vertical="center"/>
    </xf>
    <xf numFmtId="0" fontId="8" fillId="0" borderId="0" xfId="7" applyFont="1" applyAlignment="1">
      <alignment horizontal="left"/>
    </xf>
    <xf numFmtId="0" fontId="8" fillId="0" borderId="0" xfId="0" applyFont="1" applyAlignment="1">
      <alignment horizontal="left"/>
    </xf>
    <xf numFmtId="49" fontId="8" fillId="0" borderId="10" xfId="7" applyNumberFormat="1" applyFont="1" applyBorder="1" applyAlignment="1">
      <alignment horizontal="center"/>
    </xf>
    <xf numFmtId="49" fontId="8" fillId="0" borderId="12" xfId="7" applyNumberFormat="1" applyFont="1" applyBorder="1" applyAlignment="1">
      <alignment horizontal="center"/>
    </xf>
    <xf numFmtId="49" fontId="8" fillId="0" borderId="12" xfId="0" applyNumberFormat="1" applyFont="1" applyBorder="1" applyAlignment="1">
      <alignment horizontal="center"/>
    </xf>
    <xf numFmtId="49" fontId="8" fillId="0" borderId="10" xfId="7" applyNumberFormat="1" applyFont="1" applyBorder="1" applyAlignment="1">
      <alignment horizontal="center" vertical="center"/>
    </xf>
    <xf numFmtId="49" fontId="8" fillId="0" borderId="10" xfId="0" applyNumberFormat="1" applyFont="1" applyBorder="1" applyAlignment="1">
      <alignment horizontal="center" vertical="center"/>
    </xf>
    <xf numFmtId="0" fontId="9" fillId="0" borderId="0" xfId="0" applyFont="1"/>
    <xf numFmtId="0" fontId="6" fillId="0" borderId="0" xfId="5" applyAlignment="1">
      <alignment horizontal="left"/>
    </xf>
    <xf numFmtId="0" fontId="8" fillId="0" borderId="0" xfId="0" applyFont="1" applyAlignment="1">
      <alignment wrapText="1"/>
    </xf>
    <xf numFmtId="0" fontId="6" fillId="0" borderId="0" xfId="325" applyFont="1" applyAlignment="1">
      <alignment horizontal="left"/>
    </xf>
    <xf numFmtId="0" fontId="54" fillId="0" borderId="0" xfId="0" applyFont="1" applyAlignment="1">
      <alignment wrapText="1"/>
    </xf>
    <xf numFmtId="0" fontId="54" fillId="0" borderId="0" xfId="0" applyFont="1" applyAlignment="1">
      <alignment vertical="center" wrapText="1"/>
    </xf>
    <xf numFmtId="0" fontId="1" fillId="0" borderId="0" xfId="0" applyFont="1" applyAlignment="1">
      <alignment vertical="center" wrapText="1"/>
    </xf>
    <xf numFmtId="0" fontId="8" fillId="0" borderId="0" xfId="0" quotePrefix="1" applyFont="1" applyAlignment="1">
      <alignment horizontal="center"/>
    </xf>
    <xf numFmtId="0" fontId="1" fillId="0" borderId="0" xfId="0" applyFont="1" applyAlignment="1">
      <alignment horizontal="left"/>
    </xf>
    <xf numFmtId="0" fontId="1" fillId="0" borderId="10" xfId="0" applyFont="1" applyBorder="1" applyAlignment="1">
      <alignment horizontal="left"/>
    </xf>
    <xf numFmtId="0" fontId="1" fillId="0" borderId="12" xfId="0" quotePrefix="1" applyFont="1" applyBorder="1" applyAlignment="1">
      <alignment horizontal="center"/>
    </xf>
    <xf numFmtId="0" fontId="1" fillId="0" borderId="0" xfId="0" applyFont="1" applyAlignment="1">
      <alignment wrapText="1"/>
    </xf>
    <xf numFmtId="0" fontId="8" fillId="0" borderId="0" xfId="0" applyFont="1" applyAlignment="1">
      <alignment vertical="center"/>
    </xf>
    <xf numFmtId="0" fontId="8" fillId="0" borderId="0" xfId="0" applyFont="1" applyAlignment="1">
      <alignment horizontal="left" vertical="center" indent="1"/>
    </xf>
    <xf numFmtId="0" fontId="8" fillId="0" borderId="0" xfId="0" applyFont="1" applyAlignment="1">
      <alignment horizontal="left" vertical="center" wrapText="1" indent="1"/>
    </xf>
    <xf numFmtId="0" fontId="9" fillId="0" borderId="0" xfId="0" applyFont="1" applyAlignment="1">
      <alignment horizontal="left" vertical="center" indent="8"/>
    </xf>
    <xf numFmtId="0" fontId="8" fillId="0" borderId="0" xfId="0" quotePrefix="1" applyFont="1" applyAlignment="1">
      <alignment horizontal="center" vertical="center"/>
    </xf>
    <xf numFmtId="0" fontId="6" fillId="0" borderId="0" xfId="325" applyFont="1" applyAlignment="1">
      <alignment vertical="center"/>
    </xf>
    <xf numFmtId="0" fontId="8" fillId="0" borderId="10" xfId="0" applyFont="1" applyBorder="1"/>
    <xf numFmtId="0" fontId="8" fillId="0" borderId="12" xfId="0" applyFont="1" applyBorder="1"/>
    <xf numFmtId="0" fontId="8" fillId="0" borderId="12" xfId="0" applyFont="1" applyBorder="1" applyAlignment="1">
      <alignment horizontal="center"/>
    </xf>
    <xf numFmtId="0" fontId="8" fillId="0" borderId="0" xfId="0" applyFont="1"/>
    <xf numFmtId="0" fontId="8" fillId="0" borderId="0" xfId="0" applyFont="1" applyAlignment="1">
      <alignment horizontal="center"/>
    </xf>
    <xf numFmtId="0" fontId="12" fillId="0" borderId="0" xfId="5" applyFont="1" applyFill="1" applyAlignment="1">
      <alignment vertical="center"/>
    </xf>
  </cellXfs>
  <cellStyles count="332">
    <cellStyle name="20% - Accent1 2" xfId="191" xr:uid="{00000000-0005-0000-0000-000000000000}"/>
    <cellStyle name="20% - Accent2 2" xfId="192" xr:uid="{00000000-0005-0000-0000-000001000000}"/>
    <cellStyle name="20% - Accent3 2" xfId="193" xr:uid="{00000000-0005-0000-0000-000002000000}"/>
    <cellStyle name="20% - Accent4 2" xfId="194" xr:uid="{00000000-0005-0000-0000-000003000000}"/>
    <cellStyle name="20% - Accent5 2" xfId="195" xr:uid="{00000000-0005-0000-0000-000004000000}"/>
    <cellStyle name="20% - Accent6 2" xfId="196" xr:uid="{00000000-0005-0000-0000-000005000000}"/>
    <cellStyle name="40% - Accent1 2" xfId="197" xr:uid="{00000000-0005-0000-0000-000006000000}"/>
    <cellStyle name="40% - Accent2 2" xfId="198" xr:uid="{00000000-0005-0000-0000-000007000000}"/>
    <cellStyle name="40% - Accent3 2" xfId="199" xr:uid="{00000000-0005-0000-0000-000008000000}"/>
    <cellStyle name="40% - Accent4 2" xfId="200" xr:uid="{00000000-0005-0000-0000-000009000000}"/>
    <cellStyle name="40% - Accent5 2" xfId="201" xr:uid="{00000000-0005-0000-0000-00000A000000}"/>
    <cellStyle name="40% - Accent6 2" xfId="202" xr:uid="{00000000-0005-0000-0000-00000B000000}"/>
    <cellStyle name="60% - Accent1 2" xfId="203" xr:uid="{00000000-0005-0000-0000-00000C000000}"/>
    <cellStyle name="60% - Accent2 2" xfId="204" xr:uid="{00000000-0005-0000-0000-00000D000000}"/>
    <cellStyle name="60% - Accent3 2" xfId="205" xr:uid="{00000000-0005-0000-0000-00000E000000}"/>
    <cellStyle name="60% - Accent4 2" xfId="206" xr:uid="{00000000-0005-0000-0000-00000F000000}"/>
    <cellStyle name="60% - Accent5 2" xfId="207" xr:uid="{00000000-0005-0000-0000-000010000000}"/>
    <cellStyle name="60% - Accent6 2" xfId="208" xr:uid="{00000000-0005-0000-0000-000011000000}"/>
    <cellStyle name="Accent1 2" xfId="209" xr:uid="{00000000-0005-0000-0000-000012000000}"/>
    <cellStyle name="Accent2 2" xfId="210" xr:uid="{00000000-0005-0000-0000-000013000000}"/>
    <cellStyle name="Accent3 2" xfId="211" xr:uid="{00000000-0005-0000-0000-000014000000}"/>
    <cellStyle name="Accent4 2" xfId="212" xr:uid="{00000000-0005-0000-0000-000015000000}"/>
    <cellStyle name="Accent5 2" xfId="213" xr:uid="{00000000-0005-0000-0000-000016000000}"/>
    <cellStyle name="Accent6 2" xfId="214" xr:uid="{00000000-0005-0000-0000-000017000000}"/>
    <cellStyle name="Bad 2" xfId="215" xr:uid="{00000000-0005-0000-0000-000018000000}"/>
    <cellStyle name="Calculation 2" xfId="216" xr:uid="{00000000-0005-0000-0000-000019000000}"/>
    <cellStyle name="Check Cell 2" xfId="217" xr:uid="{00000000-0005-0000-0000-00001A000000}"/>
    <cellStyle name="Comma" xfId="313" builtinId="3"/>
    <cellStyle name="Comma 2" xfId="2" xr:uid="{00000000-0005-0000-0000-00001C000000}"/>
    <cellStyle name="Comma 2 2" xfId="11" xr:uid="{00000000-0005-0000-0000-00001D000000}"/>
    <cellStyle name="Comma 2 3" xfId="218" xr:uid="{00000000-0005-0000-0000-00001E000000}"/>
    <cellStyle name="Comma 2 4" xfId="219" xr:uid="{00000000-0005-0000-0000-00001F000000}"/>
    <cellStyle name="Comma 2 5" xfId="220" xr:uid="{00000000-0005-0000-0000-000020000000}"/>
    <cellStyle name="Comma 2 6" xfId="221" xr:uid="{00000000-0005-0000-0000-000021000000}"/>
    <cellStyle name="Comma 3" xfId="12" xr:uid="{00000000-0005-0000-0000-000022000000}"/>
    <cellStyle name="Comma 4" xfId="222" xr:uid="{00000000-0005-0000-0000-000023000000}"/>
    <cellStyle name="Comma 9" xfId="223" xr:uid="{00000000-0005-0000-0000-000024000000}"/>
    <cellStyle name="Comma0" xfId="224" xr:uid="{00000000-0005-0000-0000-000025000000}"/>
    <cellStyle name="Currency 2" xfId="225" xr:uid="{00000000-0005-0000-0000-000026000000}"/>
    <cellStyle name="Currency 3" xfId="226" xr:uid="{00000000-0005-0000-0000-000027000000}"/>
    <cellStyle name="Currency 4" xfId="324" xr:uid="{00000000-0005-0000-0000-000028000000}"/>
    <cellStyle name="Explanatory Text 2" xfId="227" xr:uid="{00000000-0005-0000-0000-000029000000}"/>
    <cellStyle name="Good 2" xfId="228" xr:uid="{00000000-0005-0000-0000-00002A000000}"/>
    <cellStyle name="Heading 1 2" xfId="229" xr:uid="{00000000-0005-0000-0000-00002B000000}"/>
    <cellStyle name="Heading 2 2" xfId="230" xr:uid="{00000000-0005-0000-0000-00002C000000}"/>
    <cellStyle name="Heading 3 2" xfId="231" xr:uid="{00000000-0005-0000-0000-00002D000000}"/>
    <cellStyle name="Heading 4 2" xfId="232" xr:uid="{00000000-0005-0000-0000-00002E000000}"/>
    <cellStyle name="Hyperlink" xfId="5" builtinId="8" customBuiltin="1"/>
    <cellStyle name="Hyperlink 2" xfId="13" xr:uid="{00000000-0005-0000-0000-000030000000}"/>
    <cellStyle name="Hyperlink 2 2" xfId="326" xr:uid="{00000000-0005-0000-0000-000031000000}"/>
    <cellStyle name="Hyperlink 3" xfId="15" xr:uid="{00000000-0005-0000-0000-000032000000}"/>
    <cellStyle name="Hyperlink 4" xfId="20" xr:uid="{00000000-0005-0000-0000-000033000000}"/>
    <cellStyle name="Hyperlink 5" xfId="317" xr:uid="{00000000-0005-0000-0000-000034000000}"/>
    <cellStyle name="Hyperlink 6" xfId="325" xr:uid="{00000000-0005-0000-0000-000035000000}"/>
    <cellStyle name="Hyperlink 7" xfId="330" xr:uid="{75DE58F2-13F2-4CE5-8766-05946B953389}"/>
    <cellStyle name="Input 2" xfId="233" xr:uid="{00000000-0005-0000-0000-000036000000}"/>
    <cellStyle name="Linked Cell 2" xfId="234" xr:uid="{00000000-0005-0000-0000-000037000000}"/>
    <cellStyle name="Neutral 2" xfId="235" xr:uid="{00000000-0005-0000-0000-000038000000}"/>
    <cellStyle name="Normal" xfId="0" builtinId="0"/>
    <cellStyle name="Normal 10" xfId="18" xr:uid="{00000000-0005-0000-0000-00003A000000}"/>
    <cellStyle name="Normal 10 2" xfId="318" xr:uid="{00000000-0005-0000-0000-00003B000000}"/>
    <cellStyle name="Normal 11" xfId="236" xr:uid="{00000000-0005-0000-0000-00003C000000}"/>
    <cellStyle name="Normal 11 2" xfId="237" xr:uid="{00000000-0005-0000-0000-00003D000000}"/>
    <cellStyle name="Normal 11 3" xfId="238" xr:uid="{00000000-0005-0000-0000-00003E000000}"/>
    <cellStyle name="Normal 11 4" xfId="239" xr:uid="{00000000-0005-0000-0000-00003F000000}"/>
    <cellStyle name="Normal 12" xfId="240" xr:uid="{00000000-0005-0000-0000-000040000000}"/>
    <cellStyle name="Normal 12 2" xfId="241" xr:uid="{00000000-0005-0000-0000-000041000000}"/>
    <cellStyle name="Normal 12 3" xfId="242" xr:uid="{00000000-0005-0000-0000-000042000000}"/>
    <cellStyle name="Normal 12 4" xfId="243" xr:uid="{00000000-0005-0000-0000-000043000000}"/>
    <cellStyle name="Normal 13" xfId="244" xr:uid="{00000000-0005-0000-0000-000044000000}"/>
    <cellStyle name="Normal 13 2" xfId="245" xr:uid="{00000000-0005-0000-0000-000045000000}"/>
    <cellStyle name="Normal 13 3" xfId="246" xr:uid="{00000000-0005-0000-0000-000046000000}"/>
    <cellStyle name="Normal 13 4" xfId="247" xr:uid="{00000000-0005-0000-0000-000047000000}"/>
    <cellStyle name="Normal 14" xfId="248" xr:uid="{00000000-0005-0000-0000-000048000000}"/>
    <cellStyle name="Normal 14 2" xfId="249" xr:uid="{00000000-0005-0000-0000-000049000000}"/>
    <cellStyle name="Normal 15" xfId="250" xr:uid="{00000000-0005-0000-0000-00004A000000}"/>
    <cellStyle name="Normal 16" xfId="251" xr:uid="{00000000-0005-0000-0000-00004B000000}"/>
    <cellStyle name="Normal 17" xfId="252" xr:uid="{00000000-0005-0000-0000-00004C000000}"/>
    <cellStyle name="Normal 18" xfId="312" xr:uid="{00000000-0005-0000-0000-00004D000000}"/>
    <cellStyle name="Normal 18 2" xfId="327" xr:uid="{00000000-0005-0000-0000-00004E000000}"/>
    <cellStyle name="Normal 19" xfId="320" xr:uid="{00000000-0005-0000-0000-00004F000000}"/>
    <cellStyle name="Normal 19 2" xfId="328" xr:uid="{00000000-0005-0000-0000-000050000000}"/>
    <cellStyle name="Normal 2" xfId="3" xr:uid="{00000000-0005-0000-0000-000051000000}"/>
    <cellStyle name="Normal 2 10" xfId="21" xr:uid="{00000000-0005-0000-0000-000052000000}"/>
    <cellStyle name="Normal 2 11" xfId="22" xr:uid="{00000000-0005-0000-0000-000053000000}"/>
    <cellStyle name="Normal 2 12" xfId="253" xr:uid="{00000000-0005-0000-0000-000054000000}"/>
    <cellStyle name="Normal 2 13" xfId="254" xr:uid="{00000000-0005-0000-0000-000055000000}"/>
    <cellStyle name="Normal 2 14" xfId="255" xr:uid="{00000000-0005-0000-0000-000056000000}"/>
    <cellStyle name="Normal 2 15" xfId="256" xr:uid="{00000000-0005-0000-0000-000057000000}"/>
    <cellStyle name="Normal 2 16" xfId="257" xr:uid="{00000000-0005-0000-0000-000058000000}"/>
    <cellStyle name="Normal 2 17" xfId="258" xr:uid="{00000000-0005-0000-0000-000059000000}"/>
    <cellStyle name="Normal 2 18" xfId="259" xr:uid="{00000000-0005-0000-0000-00005A000000}"/>
    <cellStyle name="Normal 2 19" xfId="260" xr:uid="{00000000-0005-0000-0000-00005B000000}"/>
    <cellStyle name="Normal 2 2" xfId="7" xr:uid="{00000000-0005-0000-0000-00005C000000}"/>
    <cellStyle name="Normal 2 2 2" xfId="23" xr:uid="{00000000-0005-0000-0000-00005D000000}"/>
    <cellStyle name="Normal 2 2 2 2" xfId="24" xr:uid="{00000000-0005-0000-0000-00005E000000}"/>
    <cellStyle name="Normal 2 2 2 3" xfId="25" xr:uid="{00000000-0005-0000-0000-00005F000000}"/>
    <cellStyle name="Normal 2 2 3" xfId="26" xr:uid="{00000000-0005-0000-0000-000060000000}"/>
    <cellStyle name="Normal 2 2 3 2" xfId="27" xr:uid="{00000000-0005-0000-0000-000061000000}"/>
    <cellStyle name="Normal 2 2 4" xfId="28" xr:uid="{00000000-0005-0000-0000-000062000000}"/>
    <cellStyle name="Normal 2 2 4 2" xfId="29" xr:uid="{00000000-0005-0000-0000-000063000000}"/>
    <cellStyle name="Normal 2 2 5" xfId="30" xr:uid="{00000000-0005-0000-0000-000064000000}"/>
    <cellStyle name="Normal 2 2 5 2" xfId="31" xr:uid="{00000000-0005-0000-0000-000065000000}"/>
    <cellStyle name="Normal 2 2 6" xfId="32" xr:uid="{00000000-0005-0000-0000-000066000000}"/>
    <cellStyle name="Normal 2 2 7" xfId="33" xr:uid="{00000000-0005-0000-0000-000067000000}"/>
    <cellStyle name="Normal 2 2 8" xfId="34" xr:uid="{00000000-0005-0000-0000-000068000000}"/>
    <cellStyle name="Normal 2 20" xfId="261" xr:uid="{00000000-0005-0000-0000-000069000000}"/>
    <cellStyle name="Normal 2 21" xfId="262" xr:uid="{00000000-0005-0000-0000-00006A000000}"/>
    <cellStyle name="Normal 2 22" xfId="263" xr:uid="{00000000-0005-0000-0000-00006B000000}"/>
    <cellStyle name="Normal 2 23" xfId="264" xr:uid="{00000000-0005-0000-0000-00006C000000}"/>
    <cellStyle name="Normal 2 24" xfId="321" xr:uid="{00000000-0005-0000-0000-00006D000000}"/>
    <cellStyle name="Normal 2 3" xfId="9" xr:uid="{00000000-0005-0000-0000-00006E000000}"/>
    <cellStyle name="Normal 2 3 2" xfId="35" xr:uid="{00000000-0005-0000-0000-00006F000000}"/>
    <cellStyle name="Normal 2 3 2 2" xfId="36" xr:uid="{00000000-0005-0000-0000-000070000000}"/>
    <cellStyle name="Normal 2 3 2 3" xfId="37" xr:uid="{00000000-0005-0000-0000-000071000000}"/>
    <cellStyle name="Normal 2 3 3" xfId="38" xr:uid="{00000000-0005-0000-0000-000072000000}"/>
    <cellStyle name="Normal 2 3 4" xfId="39" xr:uid="{00000000-0005-0000-0000-000073000000}"/>
    <cellStyle name="Normal 2 3 5" xfId="40" xr:uid="{00000000-0005-0000-0000-000074000000}"/>
    <cellStyle name="Normal 2 4" xfId="41" xr:uid="{00000000-0005-0000-0000-000075000000}"/>
    <cellStyle name="Normal 2 4 2" xfId="42" xr:uid="{00000000-0005-0000-0000-000076000000}"/>
    <cellStyle name="Normal 2 5" xfId="43" xr:uid="{00000000-0005-0000-0000-000077000000}"/>
    <cellStyle name="Normal 2 5 2" xfId="44" xr:uid="{00000000-0005-0000-0000-000078000000}"/>
    <cellStyle name="Normal 2 6" xfId="45" xr:uid="{00000000-0005-0000-0000-000079000000}"/>
    <cellStyle name="Normal 2 6 2" xfId="46" xr:uid="{00000000-0005-0000-0000-00007A000000}"/>
    <cellStyle name="Normal 2 7" xfId="47" xr:uid="{00000000-0005-0000-0000-00007B000000}"/>
    <cellStyle name="Normal 2 7 2" xfId="48" xr:uid="{00000000-0005-0000-0000-00007C000000}"/>
    <cellStyle name="Normal 2 8" xfId="49" xr:uid="{00000000-0005-0000-0000-00007D000000}"/>
    <cellStyle name="Normal 2 8 2" xfId="50" xr:uid="{00000000-0005-0000-0000-00007E000000}"/>
    <cellStyle name="Normal 2 9" xfId="51" xr:uid="{00000000-0005-0000-0000-00007F000000}"/>
    <cellStyle name="Normal 20" xfId="322" xr:uid="{00000000-0005-0000-0000-000080000000}"/>
    <cellStyle name="Normal 20 2" xfId="331" xr:uid="{1A41265E-9AAA-4AAA-BD68-6650605E30E6}"/>
    <cellStyle name="Normal 3" xfId="1" xr:uid="{00000000-0005-0000-0000-000081000000}"/>
    <cellStyle name="Normal 3 10" xfId="265" xr:uid="{00000000-0005-0000-0000-000082000000}"/>
    <cellStyle name="Normal 3 11" xfId="266" xr:uid="{00000000-0005-0000-0000-000083000000}"/>
    <cellStyle name="Normal 3 12" xfId="267" xr:uid="{00000000-0005-0000-0000-000084000000}"/>
    <cellStyle name="Normal 3 13" xfId="268" xr:uid="{00000000-0005-0000-0000-000085000000}"/>
    <cellStyle name="Normal 3 14" xfId="329" xr:uid="{00000000-0005-0000-0000-000086000000}"/>
    <cellStyle name="Normal 3 2" xfId="10" xr:uid="{00000000-0005-0000-0000-000087000000}"/>
    <cellStyle name="Normal 3 2 2" xfId="19" xr:uid="{00000000-0005-0000-0000-000088000000}"/>
    <cellStyle name="Normal 3 2 2 2" xfId="52" xr:uid="{00000000-0005-0000-0000-000089000000}"/>
    <cellStyle name="Normal 3 2 3" xfId="53" xr:uid="{00000000-0005-0000-0000-00008A000000}"/>
    <cellStyle name="Normal 3 2 4" xfId="54" xr:uid="{00000000-0005-0000-0000-00008B000000}"/>
    <cellStyle name="Normal 3 3" xfId="55" xr:uid="{00000000-0005-0000-0000-00008C000000}"/>
    <cellStyle name="Normal 3 3 2" xfId="56" xr:uid="{00000000-0005-0000-0000-00008D000000}"/>
    <cellStyle name="Normal 3 3 3" xfId="57" xr:uid="{00000000-0005-0000-0000-00008E000000}"/>
    <cellStyle name="Normal 3 4" xfId="58" xr:uid="{00000000-0005-0000-0000-00008F000000}"/>
    <cellStyle name="Normal 3 4 2" xfId="59" xr:uid="{00000000-0005-0000-0000-000090000000}"/>
    <cellStyle name="Normal 3 5" xfId="60" xr:uid="{00000000-0005-0000-0000-000091000000}"/>
    <cellStyle name="Normal 3 5 2" xfId="61" xr:uid="{00000000-0005-0000-0000-000092000000}"/>
    <cellStyle name="Normal 3 6" xfId="62" xr:uid="{00000000-0005-0000-0000-000093000000}"/>
    <cellStyle name="Normal 3 6 2" xfId="63" xr:uid="{00000000-0005-0000-0000-000094000000}"/>
    <cellStyle name="Normal 3 7" xfId="64" xr:uid="{00000000-0005-0000-0000-000095000000}"/>
    <cellStyle name="Normal 3 8" xfId="65" xr:uid="{00000000-0005-0000-0000-000096000000}"/>
    <cellStyle name="Normal 3 9" xfId="66" xr:uid="{00000000-0005-0000-0000-000097000000}"/>
    <cellStyle name="Normal 4" xfId="4" xr:uid="{00000000-0005-0000-0000-000098000000}"/>
    <cellStyle name="Normal 4 10" xfId="67" xr:uid="{00000000-0005-0000-0000-000099000000}"/>
    <cellStyle name="Normal 4 11" xfId="269" xr:uid="{00000000-0005-0000-0000-00009A000000}"/>
    <cellStyle name="Normal 4 12" xfId="270" xr:uid="{00000000-0005-0000-0000-00009B000000}"/>
    <cellStyle name="Normal 4 13" xfId="271" xr:uid="{00000000-0005-0000-0000-00009C000000}"/>
    <cellStyle name="Normal 4 2" xfId="68" xr:uid="{00000000-0005-0000-0000-00009D000000}"/>
    <cellStyle name="Normal 4 2 2" xfId="69" xr:uid="{00000000-0005-0000-0000-00009E000000}"/>
    <cellStyle name="Normal 4 2 2 2" xfId="70" xr:uid="{00000000-0005-0000-0000-00009F000000}"/>
    <cellStyle name="Normal 4 2 3" xfId="71" xr:uid="{00000000-0005-0000-0000-0000A0000000}"/>
    <cellStyle name="Normal 4 2 4" xfId="72" xr:uid="{00000000-0005-0000-0000-0000A1000000}"/>
    <cellStyle name="Normal 4 2 5" xfId="73" xr:uid="{00000000-0005-0000-0000-0000A2000000}"/>
    <cellStyle name="Normal 4 3" xfId="74" xr:uid="{00000000-0005-0000-0000-0000A3000000}"/>
    <cellStyle name="Normal 4 3 2" xfId="75" xr:uid="{00000000-0005-0000-0000-0000A4000000}"/>
    <cellStyle name="Normal 4 3 3" xfId="76" xr:uid="{00000000-0005-0000-0000-0000A5000000}"/>
    <cellStyle name="Normal 4 3 4" xfId="77" xr:uid="{00000000-0005-0000-0000-0000A6000000}"/>
    <cellStyle name="Normal 4 4" xfId="78" xr:uid="{00000000-0005-0000-0000-0000A7000000}"/>
    <cellStyle name="Normal 4 4 2" xfId="79" xr:uid="{00000000-0005-0000-0000-0000A8000000}"/>
    <cellStyle name="Normal 4 5" xfId="80" xr:uid="{00000000-0005-0000-0000-0000A9000000}"/>
    <cellStyle name="Normal 4 5 2" xfId="81" xr:uid="{00000000-0005-0000-0000-0000AA000000}"/>
    <cellStyle name="Normal 4 6" xfId="82" xr:uid="{00000000-0005-0000-0000-0000AB000000}"/>
    <cellStyle name="Normal 4 6 2" xfId="83" xr:uid="{00000000-0005-0000-0000-0000AC000000}"/>
    <cellStyle name="Normal 4 7" xfId="84" xr:uid="{00000000-0005-0000-0000-0000AD000000}"/>
    <cellStyle name="Normal 4 8" xfId="85" xr:uid="{00000000-0005-0000-0000-0000AE000000}"/>
    <cellStyle name="Normal 4 9" xfId="86" xr:uid="{00000000-0005-0000-0000-0000AF000000}"/>
    <cellStyle name="Normal 5" xfId="6" xr:uid="{00000000-0005-0000-0000-0000B0000000}"/>
    <cellStyle name="Normal 5 10" xfId="190" xr:uid="{00000000-0005-0000-0000-0000B1000000}"/>
    <cellStyle name="Normal 5 11" xfId="272" xr:uid="{00000000-0005-0000-0000-0000B2000000}"/>
    <cellStyle name="Normal 5 12" xfId="273" xr:uid="{00000000-0005-0000-0000-0000B3000000}"/>
    <cellStyle name="Normal 5 13" xfId="274" xr:uid="{00000000-0005-0000-0000-0000B4000000}"/>
    <cellStyle name="Normal 5 2" xfId="87" xr:uid="{00000000-0005-0000-0000-0000B5000000}"/>
    <cellStyle name="Normal 5 2 2" xfId="88" xr:uid="{00000000-0005-0000-0000-0000B6000000}"/>
    <cellStyle name="Normal 5 2 2 2" xfId="89" xr:uid="{00000000-0005-0000-0000-0000B7000000}"/>
    <cellStyle name="Normal 5 2 3" xfId="90" xr:uid="{00000000-0005-0000-0000-0000B8000000}"/>
    <cellStyle name="Normal 5 2 4" xfId="91" xr:uid="{00000000-0005-0000-0000-0000B9000000}"/>
    <cellStyle name="Normal 5 3" xfId="92" xr:uid="{00000000-0005-0000-0000-0000BA000000}"/>
    <cellStyle name="Normal 5 3 2" xfId="93" xr:uid="{00000000-0005-0000-0000-0000BB000000}"/>
    <cellStyle name="Normal 5 3 3" xfId="94" xr:uid="{00000000-0005-0000-0000-0000BC000000}"/>
    <cellStyle name="Normal 5 4" xfId="95" xr:uid="{00000000-0005-0000-0000-0000BD000000}"/>
    <cellStyle name="Normal 5 4 2" xfId="96" xr:uid="{00000000-0005-0000-0000-0000BE000000}"/>
    <cellStyle name="Normal 5 5" xfId="97" xr:uid="{00000000-0005-0000-0000-0000BF000000}"/>
    <cellStyle name="Normal 5 5 2" xfId="98" xr:uid="{00000000-0005-0000-0000-0000C0000000}"/>
    <cellStyle name="Normal 5 6" xfId="99" xr:uid="{00000000-0005-0000-0000-0000C1000000}"/>
    <cellStyle name="Normal 5 6 2" xfId="100" xr:uid="{00000000-0005-0000-0000-0000C2000000}"/>
    <cellStyle name="Normal 5 7" xfId="101" xr:uid="{00000000-0005-0000-0000-0000C3000000}"/>
    <cellStyle name="Normal 5 8" xfId="102" xr:uid="{00000000-0005-0000-0000-0000C4000000}"/>
    <cellStyle name="Normal 5 9" xfId="103" xr:uid="{00000000-0005-0000-0000-0000C5000000}"/>
    <cellStyle name="Normal 6" xfId="17" xr:uid="{00000000-0005-0000-0000-0000C6000000}"/>
    <cellStyle name="Normal 6 2" xfId="275" xr:uid="{00000000-0005-0000-0000-0000C7000000}"/>
    <cellStyle name="Normal 7" xfId="104" xr:uid="{00000000-0005-0000-0000-0000C8000000}"/>
    <cellStyle name="Normal 7 2" xfId="105" xr:uid="{00000000-0005-0000-0000-0000C9000000}"/>
    <cellStyle name="Normal 7 2 2" xfId="106" xr:uid="{00000000-0005-0000-0000-0000CA000000}"/>
    <cellStyle name="Normal 7 2 3" xfId="107" xr:uid="{00000000-0005-0000-0000-0000CB000000}"/>
    <cellStyle name="Normal 7 3" xfId="108" xr:uid="{00000000-0005-0000-0000-0000CC000000}"/>
    <cellStyle name="Normal 7 3 2" xfId="109" xr:uid="{00000000-0005-0000-0000-0000CD000000}"/>
    <cellStyle name="Normal 7 4" xfId="110" xr:uid="{00000000-0005-0000-0000-0000CE000000}"/>
    <cellStyle name="Normal 7 4 2" xfId="111" xr:uid="{00000000-0005-0000-0000-0000CF000000}"/>
    <cellStyle name="Normal 7 5" xfId="112" xr:uid="{00000000-0005-0000-0000-0000D0000000}"/>
    <cellStyle name="Normal 7 5 2" xfId="113" xr:uid="{00000000-0005-0000-0000-0000D1000000}"/>
    <cellStyle name="Normal 7 6" xfId="114" xr:uid="{00000000-0005-0000-0000-0000D2000000}"/>
    <cellStyle name="Normal 7 7" xfId="115" xr:uid="{00000000-0005-0000-0000-0000D3000000}"/>
    <cellStyle name="Normal 7 8" xfId="116" xr:uid="{00000000-0005-0000-0000-0000D4000000}"/>
    <cellStyle name="Normal 8" xfId="14" xr:uid="{00000000-0005-0000-0000-0000D5000000}"/>
    <cellStyle name="Normal 8 2" xfId="117" xr:uid="{00000000-0005-0000-0000-0000D6000000}"/>
    <cellStyle name="Normal 8 2 2" xfId="118" xr:uid="{00000000-0005-0000-0000-0000D7000000}"/>
    <cellStyle name="Normal 8 3" xfId="119" xr:uid="{00000000-0005-0000-0000-0000D8000000}"/>
    <cellStyle name="Normal 8 3 2" xfId="120" xr:uid="{00000000-0005-0000-0000-0000D9000000}"/>
    <cellStyle name="Normal 8 4" xfId="121" xr:uid="{00000000-0005-0000-0000-0000DA000000}"/>
    <cellStyle name="Normal 8 4 2" xfId="122" xr:uid="{00000000-0005-0000-0000-0000DB000000}"/>
    <cellStyle name="Normal 8 5" xfId="123" xr:uid="{00000000-0005-0000-0000-0000DC000000}"/>
    <cellStyle name="Normal 9" xfId="124" xr:uid="{00000000-0005-0000-0000-0000DD000000}"/>
    <cellStyle name="Normal_SI.ATRtable" xfId="315" xr:uid="{00000000-0005-0000-0000-0000DE000000}"/>
    <cellStyle name="Normal_summary.tables" xfId="316" xr:uid="{00000000-0005-0000-0000-0000DF000000}"/>
    <cellStyle name="Note 2" xfId="276" xr:uid="{00000000-0005-0000-0000-0000E0000000}"/>
    <cellStyle name="Note 2 2" xfId="323" xr:uid="{00000000-0005-0000-0000-0000E1000000}"/>
    <cellStyle name="Note 3" xfId="277" xr:uid="{00000000-0005-0000-0000-0000E2000000}"/>
    <cellStyle name="Note 4" xfId="278" xr:uid="{00000000-0005-0000-0000-0000E3000000}"/>
    <cellStyle name="Note 5" xfId="279" xr:uid="{00000000-0005-0000-0000-0000E4000000}"/>
    <cellStyle name="Output 2" xfId="280" xr:uid="{00000000-0005-0000-0000-0000E5000000}"/>
    <cellStyle name="Percent" xfId="314" builtinId="5"/>
    <cellStyle name="Percent 2" xfId="8" xr:uid="{00000000-0005-0000-0000-0000E7000000}"/>
    <cellStyle name="Percent 2 2" xfId="125" xr:uid="{00000000-0005-0000-0000-0000E8000000}"/>
    <cellStyle name="Percent 2 2 10" xfId="281" xr:uid="{00000000-0005-0000-0000-0000E9000000}"/>
    <cellStyle name="Percent 2 2 11" xfId="282" xr:uid="{00000000-0005-0000-0000-0000EA000000}"/>
    <cellStyle name="Percent 2 2 12" xfId="283" xr:uid="{00000000-0005-0000-0000-0000EB000000}"/>
    <cellStyle name="Percent 2 2 2" xfId="126" xr:uid="{00000000-0005-0000-0000-0000EC000000}"/>
    <cellStyle name="Percent 2 2 2 2" xfId="127" xr:uid="{00000000-0005-0000-0000-0000ED000000}"/>
    <cellStyle name="Percent 2 2 3" xfId="128" xr:uid="{00000000-0005-0000-0000-0000EE000000}"/>
    <cellStyle name="Percent 2 2 4" xfId="129" xr:uid="{00000000-0005-0000-0000-0000EF000000}"/>
    <cellStyle name="Percent 2 2 5" xfId="284" xr:uid="{00000000-0005-0000-0000-0000F0000000}"/>
    <cellStyle name="Percent 2 2 6" xfId="285" xr:uid="{00000000-0005-0000-0000-0000F1000000}"/>
    <cellStyle name="Percent 2 2 7" xfId="286" xr:uid="{00000000-0005-0000-0000-0000F2000000}"/>
    <cellStyle name="Percent 2 2 8" xfId="287" xr:uid="{00000000-0005-0000-0000-0000F3000000}"/>
    <cellStyle name="Percent 2 2 9" xfId="288" xr:uid="{00000000-0005-0000-0000-0000F4000000}"/>
    <cellStyle name="Percent 2 3" xfId="130" xr:uid="{00000000-0005-0000-0000-0000F5000000}"/>
    <cellStyle name="Percent 2 3 10" xfId="289" xr:uid="{00000000-0005-0000-0000-0000F6000000}"/>
    <cellStyle name="Percent 2 3 11" xfId="290" xr:uid="{00000000-0005-0000-0000-0000F7000000}"/>
    <cellStyle name="Percent 2 3 12" xfId="291" xr:uid="{00000000-0005-0000-0000-0000F8000000}"/>
    <cellStyle name="Percent 2 3 2" xfId="131" xr:uid="{00000000-0005-0000-0000-0000F9000000}"/>
    <cellStyle name="Percent 2 3 3" xfId="132" xr:uid="{00000000-0005-0000-0000-0000FA000000}"/>
    <cellStyle name="Percent 2 3 4" xfId="292" xr:uid="{00000000-0005-0000-0000-0000FB000000}"/>
    <cellStyle name="Percent 2 3 5" xfId="293" xr:uid="{00000000-0005-0000-0000-0000FC000000}"/>
    <cellStyle name="Percent 2 3 6" xfId="294" xr:uid="{00000000-0005-0000-0000-0000FD000000}"/>
    <cellStyle name="Percent 2 3 7" xfId="295" xr:uid="{00000000-0005-0000-0000-0000FE000000}"/>
    <cellStyle name="Percent 2 3 8" xfId="296" xr:uid="{00000000-0005-0000-0000-0000FF000000}"/>
    <cellStyle name="Percent 2 3 9" xfId="297" xr:uid="{00000000-0005-0000-0000-000000010000}"/>
    <cellStyle name="Percent 2 4" xfId="133" xr:uid="{00000000-0005-0000-0000-000001010000}"/>
    <cellStyle name="Percent 2 4 10" xfId="298" xr:uid="{00000000-0005-0000-0000-000002010000}"/>
    <cellStyle name="Percent 2 4 11" xfId="299" xr:uid="{00000000-0005-0000-0000-000003010000}"/>
    <cellStyle name="Percent 2 4 12" xfId="300" xr:uid="{00000000-0005-0000-0000-000004010000}"/>
    <cellStyle name="Percent 2 4 2" xfId="134" xr:uid="{00000000-0005-0000-0000-000005010000}"/>
    <cellStyle name="Percent 2 4 3" xfId="301" xr:uid="{00000000-0005-0000-0000-000006010000}"/>
    <cellStyle name="Percent 2 4 4" xfId="302" xr:uid="{00000000-0005-0000-0000-000007010000}"/>
    <cellStyle name="Percent 2 4 5" xfId="303" xr:uid="{00000000-0005-0000-0000-000008010000}"/>
    <cellStyle name="Percent 2 4 6" xfId="304" xr:uid="{00000000-0005-0000-0000-000009010000}"/>
    <cellStyle name="Percent 2 4 7" xfId="305" xr:uid="{00000000-0005-0000-0000-00000A010000}"/>
    <cellStyle name="Percent 2 4 8" xfId="306" xr:uid="{00000000-0005-0000-0000-00000B010000}"/>
    <cellStyle name="Percent 2 4 9" xfId="307" xr:uid="{00000000-0005-0000-0000-00000C010000}"/>
    <cellStyle name="Percent 2 5" xfId="135" xr:uid="{00000000-0005-0000-0000-00000D010000}"/>
    <cellStyle name="Percent 2 5 2" xfId="136" xr:uid="{00000000-0005-0000-0000-00000E010000}"/>
    <cellStyle name="Percent 2 6" xfId="137" xr:uid="{00000000-0005-0000-0000-00000F010000}"/>
    <cellStyle name="Percent 2 6 2" xfId="138" xr:uid="{00000000-0005-0000-0000-000010010000}"/>
    <cellStyle name="Percent 2 7" xfId="139" xr:uid="{00000000-0005-0000-0000-000011010000}"/>
    <cellStyle name="Percent 2 8" xfId="140" xr:uid="{00000000-0005-0000-0000-000012010000}"/>
    <cellStyle name="Percent 2 9" xfId="141" xr:uid="{00000000-0005-0000-0000-000013010000}"/>
    <cellStyle name="Percent 3" xfId="16" xr:uid="{00000000-0005-0000-0000-000014010000}"/>
    <cellStyle name="Percent 3 2" xfId="142" xr:uid="{00000000-0005-0000-0000-000015010000}"/>
    <cellStyle name="Percent 3 2 2" xfId="143" xr:uid="{00000000-0005-0000-0000-000016010000}"/>
    <cellStyle name="Percent 3 2 2 2" xfId="144" xr:uid="{00000000-0005-0000-0000-000017010000}"/>
    <cellStyle name="Percent 3 2 3" xfId="145" xr:uid="{00000000-0005-0000-0000-000018010000}"/>
    <cellStyle name="Percent 3 2 4" xfId="146" xr:uid="{00000000-0005-0000-0000-000019010000}"/>
    <cellStyle name="Percent 3 3" xfId="147" xr:uid="{00000000-0005-0000-0000-00001A010000}"/>
    <cellStyle name="Percent 3 3 2" xfId="148" xr:uid="{00000000-0005-0000-0000-00001B010000}"/>
    <cellStyle name="Percent 3 3 3" xfId="149" xr:uid="{00000000-0005-0000-0000-00001C010000}"/>
    <cellStyle name="Percent 3 4" xfId="150" xr:uid="{00000000-0005-0000-0000-00001D010000}"/>
    <cellStyle name="Percent 3 4 2" xfId="151" xr:uid="{00000000-0005-0000-0000-00001E010000}"/>
    <cellStyle name="Percent 3 5" xfId="152" xr:uid="{00000000-0005-0000-0000-00001F010000}"/>
    <cellStyle name="Percent 3 5 2" xfId="153" xr:uid="{00000000-0005-0000-0000-000020010000}"/>
    <cellStyle name="Percent 3 6" xfId="154" xr:uid="{00000000-0005-0000-0000-000021010000}"/>
    <cellStyle name="Percent 3 6 2" xfId="155" xr:uid="{00000000-0005-0000-0000-000022010000}"/>
    <cellStyle name="Percent 3 7" xfId="156" xr:uid="{00000000-0005-0000-0000-000023010000}"/>
    <cellStyle name="Percent 3 8" xfId="157" xr:uid="{00000000-0005-0000-0000-000024010000}"/>
    <cellStyle name="Percent 3 9" xfId="158" xr:uid="{00000000-0005-0000-0000-000025010000}"/>
    <cellStyle name="Percent 4" xfId="159" xr:uid="{00000000-0005-0000-0000-000026010000}"/>
    <cellStyle name="Percent 4 2" xfId="160" xr:uid="{00000000-0005-0000-0000-000027010000}"/>
    <cellStyle name="Percent 4 2 2" xfId="161" xr:uid="{00000000-0005-0000-0000-000028010000}"/>
    <cellStyle name="Percent 4 2 2 2" xfId="162" xr:uid="{00000000-0005-0000-0000-000029010000}"/>
    <cellStyle name="Percent 4 2 3" xfId="163" xr:uid="{00000000-0005-0000-0000-00002A010000}"/>
    <cellStyle name="Percent 4 2 4" xfId="164" xr:uid="{00000000-0005-0000-0000-00002B010000}"/>
    <cellStyle name="Percent 4 3" xfId="165" xr:uid="{00000000-0005-0000-0000-00002C010000}"/>
    <cellStyle name="Percent 4 3 2" xfId="166" xr:uid="{00000000-0005-0000-0000-00002D010000}"/>
    <cellStyle name="Percent 4 3 3" xfId="167" xr:uid="{00000000-0005-0000-0000-00002E010000}"/>
    <cellStyle name="Percent 4 4" xfId="168" xr:uid="{00000000-0005-0000-0000-00002F010000}"/>
    <cellStyle name="Percent 4 4 2" xfId="169" xr:uid="{00000000-0005-0000-0000-000030010000}"/>
    <cellStyle name="Percent 4 5" xfId="170" xr:uid="{00000000-0005-0000-0000-000031010000}"/>
    <cellStyle name="Percent 4 5 2" xfId="171" xr:uid="{00000000-0005-0000-0000-000032010000}"/>
    <cellStyle name="Percent 4 6" xfId="172" xr:uid="{00000000-0005-0000-0000-000033010000}"/>
    <cellStyle name="Percent 4 6 2" xfId="173" xr:uid="{00000000-0005-0000-0000-000034010000}"/>
    <cellStyle name="Percent 4 7" xfId="174" xr:uid="{00000000-0005-0000-0000-000035010000}"/>
    <cellStyle name="Percent 4 8" xfId="175" xr:uid="{00000000-0005-0000-0000-000036010000}"/>
    <cellStyle name="Percent 4 9" xfId="176" xr:uid="{00000000-0005-0000-0000-000037010000}"/>
    <cellStyle name="Percent 5" xfId="177" xr:uid="{00000000-0005-0000-0000-000038010000}"/>
    <cellStyle name="Percent 5 2" xfId="178" xr:uid="{00000000-0005-0000-0000-000039010000}"/>
    <cellStyle name="Percent 5 2 2" xfId="179" xr:uid="{00000000-0005-0000-0000-00003A010000}"/>
    <cellStyle name="Percent 5 2 3" xfId="180" xr:uid="{00000000-0005-0000-0000-00003B010000}"/>
    <cellStyle name="Percent 5 3" xfId="181" xr:uid="{00000000-0005-0000-0000-00003C010000}"/>
    <cellStyle name="Percent 5 3 2" xfId="182" xr:uid="{00000000-0005-0000-0000-00003D010000}"/>
    <cellStyle name="Percent 5 4" xfId="183" xr:uid="{00000000-0005-0000-0000-00003E010000}"/>
    <cellStyle name="Percent 5 4 2" xfId="184" xr:uid="{00000000-0005-0000-0000-00003F010000}"/>
    <cellStyle name="Percent 5 5" xfId="185" xr:uid="{00000000-0005-0000-0000-000040010000}"/>
    <cellStyle name="Percent 5 5 2" xfId="186" xr:uid="{00000000-0005-0000-0000-000041010000}"/>
    <cellStyle name="Percent 5 6" xfId="187" xr:uid="{00000000-0005-0000-0000-000042010000}"/>
    <cellStyle name="Percent 5 7" xfId="188" xr:uid="{00000000-0005-0000-0000-000043010000}"/>
    <cellStyle name="Percent 5 8" xfId="189" xr:uid="{00000000-0005-0000-0000-000044010000}"/>
    <cellStyle name="Percent 6" xfId="308" xr:uid="{00000000-0005-0000-0000-000045010000}"/>
    <cellStyle name="Percent 9" xfId="309" xr:uid="{00000000-0005-0000-0000-000046010000}"/>
    <cellStyle name="Title" xfId="319" builtinId="15" customBuiltin="1"/>
    <cellStyle name="Total 2" xfId="310" xr:uid="{00000000-0005-0000-0000-000048010000}"/>
    <cellStyle name="Warning Text 2" xfId="311" xr:uid="{00000000-0005-0000-0000-000049010000}"/>
  </cellStyles>
  <dxfs count="0"/>
  <tableStyles count="0" defaultTableStyle="TableStyleMedium2" defaultPivotStyle="PivotStyleLight16"/>
  <colors>
    <mruColors>
      <color rgb="FFFFFFCC"/>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16</xdr:col>
      <xdr:colOff>0</xdr:colOff>
      <xdr:row>4</xdr:row>
      <xdr:rowOff>0</xdr:rowOff>
    </xdr:from>
    <xdr:to>
      <xdr:col>26</xdr:col>
      <xdr:colOff>533400</xdr:colOff>
      <xdr:row>47</xdr:row>
      <xdr:rowOff>14890</xdr:rowOff>
    </xdr:to>
    <xdr:pic>
      <xdr:nvPicPr>
        <xdr:cNvPr id="2" name="Picture 1">
          <a:extLst>
            <a:ext uri="{FF2B5EF4-FFF2-40B4-BE49-F238E27FC236}">
              <a16:creationId xmlns:a16="http://schemas.microsoft.com/office/drawing/2014/main" id="{42F8DA28-0B0D-2B90-285E-89A85ADE9739}"/>
            </a:ext>
          </a:extLst>
        </xdr:cNvPr>
        <xdr:cNvPicPr>
          <a:picLocks noChangeAspect="1"/>
        </xdr:cNvPicPr>
      </xdr:nvPicPr>
      <xdr:blipFill>
        <a:blip xmlns:r="http://schemas.openxmlformats.org/officeDocument/2006/relationships" r:embed="rId1"/>
        <a:stretch>
          <a:fillRect/>
        </a:stretch>
      </xdr:blipFill>
      <xdr:spPr>
        <a:xfrm>
          <a:off x="13233400" y="711200"/>
          <a:ext cx="7772400" cy="797779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16</xdr:col>
      <xdr:colOff>0</xdr:colOff>
      <xdr:row>3</xdr:row>
      <xdr:rowOff>0</xdr:rowOff>
    </xdr:from>
    <xdr:to>
      <xdr:col>26</xdr:col>
      <xdr:colOff>127000</xdr:colOff>
      <xdr:row>19</xdr:row>
      <xdr:rowOff>87068</xdr:rowOff>
    </xdr:to>
    <xdr:pic>
      <xdr:nvPicPr>
        <xdr:cNvPr id="2" name="Picture 1">
          <a:extLst>
            <a:ext uri="{FF2B5EF4-FFF2-40B4-BE49-F238E27FC236}">
              <a16:creationId xmlns:a16="http://schemas.microsoft.com/office/drawing/2014/main" id="{A92BD2EC-3EA3-1169-ED8F-3653885D55A8}"/>
            </a:ext>
          </a:extLst>
        </xdr:cNvPr>
        <xdr:cNvPicPr>
          <a:picLocks noChangeAspect="1"/>
        </xdr:cNvPicPr>
      </xdr:nvPicPr>
      <xdr:blipFill>
        <a:blip xmlns:r="http://schemas.openxmlformats.org/officeDocument/2006/relationships" r:embed="rId1"/>
        <a:stretch>
          <a:fillRect/>
        </a:stretch>
      </xdr:blipFill>
      <xdr:spPr>
        <a:xfrm>
          <a:off x="14287500" y="533400"/>
          <a:ext cx="7772400" cy="3147768"/>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cbo.gov/publication/61882"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www.cbo.gov/publication/61882"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cbo.gov/publication/61882"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cbo.gov/publication/61882"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5.bin"/><Relationship Id="rId1" Type="http://schemas.openxmlformats.org/officeDocument/2006/relationships/hyperlink" Target="http://www.cbo.gov/publication/61882"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www.cbo.gov/publication/61882"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www.cbo.gov/publication/61882"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www.cbo.gov/publication/61882"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www.cbo.gov/publication/61882"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www.cbo.gov/publication/6188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18"/>
  <sheetViews>
    <sheetView tabSelected="1" zoomScaleNormal="100" workbookViewId="0"/>
  </sheetViews>
  <sheetFormatPr baseColWidth="10" defaultColWidth="9.5" defaultRowHeight="15" customHeight="1"/>
  <cols>
    <col min="1" max="1" width="147.5" style="12" bestFit="1" customWidth="1"/>
    <col min="2" max="16384" width="9.5" style="12"/>
  </cols>
  <sheetData>
    <row r="1" spans="1:1" ht="15" customHeight="1">
      <c r="A1" s="55" t="s">
        <v>307</v>
      </c>
    </row>
    <row r="2" spans="1:1" ht="15" customHeight="1">
      <c r="A2" s="233" t="s">
        <v>308</v>
      </c>
    </row>
    <row r="3" spans="1:1" ht="15" customHeight="1">
      <c r="A3" s="234"/>
    </row>
    <row r="4" spans="1:1" ht="15" customHeight="1">
      <c r="A4" s="283" t="s">
        <v>311</v>
      </c>
    </row>
    <row r="5" spans="1:1" ht="15" customHeight="1">
      <c r="A5" s="28"/>
    </row>
    <row r="6" spans="1:1" ht="15" customHeight="1">
      <c r="A6" s="13" t="s">
        <v>0</v>
      </c>
    </row>
    <row r="7" spans="1:1" ht="6" customHeight="1"/>
    <row r="8" spans="1:1" ht="15" customHeight="1">
      <c r="A8" s="235" t="str">
        <f>_xlfn.SINGLE('1. Revenue Projections'!A5)</f>
        <v>1. CBO's Baseline Projections of Revenues</v>
      </c>
    </row>
    <row r="9" spans="1:1" ht="15" customHeight="1">
      <c r="A9" s="235" t="str">
        <f>_xlfn.SINGLE('2. Baseline Changes'!A5)</f>
        <v>2. Changes in CBO’s Baseline Projections of Revenues Since January 2025</v>
      </c>
    </row>
    <row r="10" spans="1:1" ht="15" customHeight="1">
      <c r="A10" s="236" t="str">
        <f>'3.Individual Income Tax Details'!A5</f>
        <v>3. Detailed Individual Income Tax Projections in CBO's February 2026 Baseline</v>
      </c>
    </row>
    <row r="11" spans="1:1" ht="15" customHeight="1">
      <c r="A11" s="235" t="str">
        <f>'4. Payroll Tax Revenues'!A5</f>
        <v>4. CBO’s Baseline Projections of Payroll Tax Revenues</v>
      </c>
    </row>
    <row r="12" spans="1:1" ht="15" customHeight="1">
      <c r="A12" s="235" t="str">
        <f>'5. Excise Tax Revenues'!A5</f>
        <v>5. CBO's Baseline Projections of Excise Tax Revenues</v>
      </c>
    </row>
    <row r="13" spans="1:1" ht="15" customHeight="1">
      <c r="A13" s="235" t="str">
        <f>'6. Capital Gains Realizations'!A5</f>
        <v>6. Capital Gains Realizations and Tax Receipts, 1996 to 2036</v>
      </c>
    </row>
    <row r="14" spans="1:1" ht="15" customHeight="1">
      <c r="A14" s="60" t="s">
        <v>1</v>
      </c>
    </row>
    <row r="15" spans="1:1" ht="15" customHeight="1">
      <c r="A15" s="237" t="str">
        <f>_xlfn.SINGLE('7a. Legislation (Dollars)'!A5)</f>
        <v>7a. Estimates of the Revenue Effects, in Billions of Dollars, of Legislation Enacted From 1982 to 2025 That Has a Significant Impact on Revenues</v>
      </c>
    </row>
    <row r="16" spans="1:1" ht="15" customHeight="1">
      <c r="A16" s="237" t="str">
        <f>_xlfn.SINGLE('7b. Legislation (Pct of GDP)'!A5)</f>
        <v>7b. Estimates of the Revenue Effects, Measured as a Percentage of GDP, of Legislation Enacted From 1982 to 2025 That Has a Significant Impact on Revenues</v>
      </c>
    </row>
    <row r="17" spans="1:1" ht="15" customHeight="1">
      <c r="A17" s="235" t="str">
        <f>'8. Corporate Profits'!A5</f>
        <v>8. Relation of NIPA Corporate Profits to Income Subject to Tax Under the Corporate Income Tax in CBO's February 2026 Baseline</v>
      </c>
    </row>
    <row r="18" spans="1:1" ht="15" customHeight="1">
      <c r="A18" s="238"/>
    </row>
  </sheetData>
  <hyperlinks>
    <hyperlink ref="A8" location="'1. Revenue Projections'!A1" display="'1. Revenue Projections'!A1" xr:uid="{00000000-0004-0000-0000-000000000000}"/>
    <hyperlink ref="A9" location="'2. Baseline Changes'!A1" display="'2. Baseline Changes'!A1" xr:uid="{00000000-0004-0000-0000-000001000000}"/>
    <hyperlink ref="A12" location="'5. Excise Tax Revenues'!A1" display="5. Excise Tax Revenues Projected in CBO's April 2018 Baseline, by Source" xr:uid="{00000000-0004-0000-0000-000003000000}"/>
    <hyperlink ref="A15" location="'7a. Legislation (Dollars)'!A1" display="'7a. Legislation (Dollars)'!A1" xr:uid="{00000000-0004-0000-0000-00000A000000}"/>
    <hyperlink ref="A16" location="'7b. Legislation (Pct of GDP)'!A1" display="'7b. Legislation (Pct of GDP)'!A1" xr:uid="{00000000-0004-0000-0000-00000B000000}"/>
    <hyperlink ref="A2" r:id="rId1" xr:uid="{DAEF8871-C068-384A-BFA2-AFAE42EFEA8F}"/>
    <hyperlink ref="A10" location="'3.Individual Income Tax Details'!A5" display="3. Individual Income Tax Details" xr:uid="{55121916-5672-4E12-9D34-478AE3329835}"/>
    <hyperlink ref="A11" location="'4. Payroll Tax Revenues'!A5" display="4. Payroll Tax Revenues" xr:uid="{F93D7103-E1E1-45BC-95A4-AC741DDFB9EB}"/>
    <hyperlink ref="A13" location="'6. Capital Gains Realization'!A5" display="6. Capital Gains Realization" xr:uid="{30E3C122-EE85-4A3F-88F0-4EDD93B5150D}"/>
    <hyperlink ref="A17" location="'8. Corporate Profits'!A5" display="8. Corporate Profits" xr:uid="{CAC5914E-3360-49EB-B422-A3F1A6572F0F}"/>
  </hyperlinks>
  <pageMargins left="0.7" right="0.7" top="0.75" bottom="0.75" header="0.3" footer="0.3"/>
  <pageSetup orientation="portrait" horizontalDpi="4294967295" verticalDpi="4294967295"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P70"/>
  <sheetViews>
    <sheetView zoomScaleNormal="100" workbookViewId="0"/>
  </sheetViews>
  <sheetFormatPr baseColWidth="10" defaultColWidth="9.5" defaultRowHeight="14"/>
  <cols>
    <col min="1" max="1" width="30.5" style="1" customWidth="1"/>
    <col min="2" max="13" width="9.5" style="1" customWidth="1"/>
    <col min="14" max="14" width="9.83203125" style="1" customWidth="1"/>
    <col min="15" max="15" width="9.83203125" style="1" bestFit="1" customWidth="1"/>
    <col min="16" max="16384" width="9.5" style="1"/>
  </cols>
  <sheetData>
    <row r="1" spans="1:16">
      <c r="A1" s="55" t="s">
        <v>307</v>
      </c>
    </row>
    <row r="2" spans="1:16">
      <c r="A2" s="233" t="s">
        <v>308</v>
      </c>
    </row>
    <row r="3" spans="1:16">
      <c r="B3" s="11"/>
      <c r="C3" s="11"/>
      <c r="D3" s="11"/>
      <c r="E3" s="11"/>
      <c r="F3" s="11"/>
      <c r="G3" s="11"/>
      <c r="H3" s="11"/>
      <c r="I3" s="11"/>
      <c r="J3" s="11"/>
      <c r="K3" s="11"/>
      <c r="L3" s="11"/>
      <c r="M3" s="11"/>
    </row>
    <row r="4" spans="1:16">
      <c r="B4" s="11"/>
      <c r="C4" s="11"/>
      <c r="D4" s="11"/>
      <c r="E4" s="11"/>
      <c r="F4" s="11"/>
      <c r="G4" s="11"/>
      <c r="H4" s="11"/>
      <c r="I4" s="11"/>
      <c r="J4" s="11"/>
      <c r="K4" s="11"/>
      <c r="L4" s="11"/>
      <c r="M4" s="11"/>
    </row>
    <row r="5" spans="1:16">
      <c r="A5" s="53" t="s">
        <v>2</v>
      </c>
      <c r="B5" s="190"/>
      <c r="C5" s="190"/>
      <c r="D5" s="190"/>
      <c r="E5" s="190"/>
      <c r="F5" s="190"/>
      <c r="G5" s="190"/>
      <c r="H5" s="190"/>
      <c r="I5" s="190"/>
      <c r="J5" s="190"/>
      <c r="K5" s="190"/>
      <c r="L5" s="190"/>
      <c r="M5" s="190"/>
      <c r="N5" s="190"/>
      <c r="O5" s="190"/>
    </row>
    <row r="6" spans="1:16">
      <c r="A6" s="133"/>
      <c r="B6" s="133"/>
      <c r="C6" s="133"/>
      <c r="D6" s="133"/>
      <c r="E6" s="133"/>
      <c r="F6" s="133"/>
      <c r="G6" s="133"/>
      <c r="H6" s="133"/>
      <c r="I6" s="133"/>
      <c r="J6" s="133"/>
      <c r="K6" s="133"/>
      <c r="L6" s="133"/>
      <c r="M6" s="133"/>
      <c r="N6" s="133"/>
      <c r="O6" s="133"/>
    </row>
    <row r="8" spans="1:16">
      <c r="N8" s="244" t="s">
        <v>4</v>
      </c>
      <c r="O8" s="244"/>
    </row>
    <row r="9" spans="1:16" ht="30">
      <c r="A9" s="133"/>
      <c r="B9" s="54" t="s">
        <v>6</v>
      </c>
      <c r="C9" s="133">
        <v>2026</v>
      </c>
      <c r="D9" s="133">
        <v>2027</v>
      </c>
      <c r="E9" s="133">
        <v>2028</v>
      </c>
      <c r="F9" s="133">
        <v>2029</v>
      </c>
      <c r="G9" s="133">
        <v>2030</v>
      </c>
      <c r="H9" s="133">
        <v>2031</v>
      </c>
      <c r="I9" s="133">
        <v>2032</v>
      </c>
      <c r="J9" s="133">
        <v>2033</v>
      </c>
      <c r="K9" s="133">
        <v>2034</v>
      </c>
      <c r="L9" s="133">
        <v>2035</v>
      </c>
      <c r="M9" s="133">
        <v>2036</v>
      </c>
      <c r="N9" s="54" t="s">
        <v>7</v>
      </c>
      <c r="O9" s="54" t="s">
        <v>8</v>
      </c>
    </row>
    <row r="10" spans="1:16" ht="17" customHeight="1">
      <c r="B10" s="245" t="s">
        <v>278</v>
      </c>
      <c r="C10" s="245"/>
      <c r="D10" s="245"/>
      <c r="E10" s="245"/>
      <c r="F10" s="245"/>
      <c r="G10" s="245"/>
      <c r="H10" s="245"/>
      <c r="I10" s="245"/>
      <c r="J10" s="245"/>
      <c r="K10" s="245"/>
      <c r="L10" s="245"/>
      <c r="M10" s="245"/>
      <c r="N10" s="245"/>
      <c r="O10" s="245"/>
    </row>
    <row r="11" spans="1:16">
      <c r="A11" s="1" t="s">
        <v>9</v>
      </c>
      <c r="B11" s="5">
        <v>2656.0439999999999</v>
      </c>
      <c r="C11" s="5">
        <v>2751.2910000000006</v>
      </c>
      <c r="D11" s="5">
        <v>2947.0250000000005</v>
      </c>
      <c r="E11" s="5">
        <v>3044.1740000000004</v>
      </c>
      <c r="F11" s="5">
        <v>3193.3230000000003</v>
      </c>
      <c r="G11" s="5">
        <v>3338.9790000000003</v>
      </c>
      <c r="H11" s="5">
        <v>3461.0529999999999</v>
      </c>
      <c r="I11" s="5">
        <v>3594.393</v>
      </c>
      <c r="J11" s="5">
        <v>3743.8540000000003</v>
      </c>
      <c r="K11" s="5">
        <v>3902.6089999999999</v>
      </c>
      <c r="L11" s="5">
        <v>4071.9090000000006</v>
      </c>
      <c r="M11" s="5">
        <v>4248.9979999999996</v>
      </c>
      <c r="N11" s="25">
        <v>15984.554</v>
      </c>
      <c r="O11" s="25">
        <v>35546.316999999995</v>
      </c>
      <c r="P11" s="11"/>
    </row>
    <row r="12" spans="1:16">
      <c r="A12" s="1" t="s">
        <v>10</v>
      </c>
      <c r="B12" s="5">
        <v>1748.2939999999999</v>
      </c>
      <c r="C12" s="5">
        <v>1825.5730000000001</v>
      </c>
      <c r="D12" s="5">
        <v>1896.664</v>
      </c>
      <c r="E12" s="5">
        <v>1970.1610000000003</v>
      </c>
      <c r="F12" s="5">
        <v>2048.4659999999999</v>
      </c>
      <c r="G12" s="5">
        <v>2131.5569999999998</v>
      </c>
      <c r="H12" s="5">
        <v>2216.3049999999998</v>
      </c>
      <c r="I12" s="5">
        <v>2301.5560000000005</v>
      </c>
      <c r="J12" s="5">
        <v>2388.5619999999999</v>
      </c>
      <c r="K12" s="5">
        <v>2477.672</v>
      </c>
      <c r="L12" s="5">
        <v>2570.0090000000009</v>
      </c>
      <c r="M12" s="5">
        <v>2666.0660000000003</v>
      </c>
      <c r="N12" s="25">
        <v>10263.153</v>
      </c>
      <c r="O12" s="25">
        <v>22667.018</v>
      </c>
      <c r="P12" s="11"/>
    </row>
    <row r="13" spans="1:16">
      <c r="A13" s="1" t="s">
        <v>11</v>
      </c>
      <c r="B13" s="5">
        <v>452.089</v>
      </c>
      <c r="C13" s="5">
        <v>403.97900000000004</v>
      </c>
      <c r="D13" s="5">
        <v>419.298</v>
      </c>
      <c r="E13" s="5">
        <v>432.53400000000005</v>
      </c>
      <c r="F13" s="5">
        <v>451.5390000000001</v>
      </c>
      <c r="G13" s="5">
        <v>477.34000000000003</v>
      </c>
      <c r="H13" s="5">
        <v>493.46500000000009</v>
      </c>
      <c r="I13" s="5">
        <v>509.96200000000005</v>
      </c>
      <c r="J13" s="5">
        <v>525.92300000000012</v>
      </c>
      <c r="K13" s="5">
        <v>539.06700000000001</v>
      </c>
      <c r="L13" s="5">
        <v>551.90600000000018</v>
      </c>
      <c r="M13" s="5">
        <v>575.64499999999998</v>
      </c>
      <c r="N13" s="25">
        <v>2274.1760000000004</v>
      </c>
      <c r="O13" s="25">
        <v>4976.6790000000001</v>
      </c>
      <c r="P13" s="11"/>
    </row>
    <row r="14" spans="1:16">
      <c r="A14" s="1" t="s">
        <v>12</v>
      </c>
      <c r="B14" s="5">
        <v>194.86599999999999</v>
      </c>
      <c r="C14" s="5">
        <v>418.38799999999998</v>
      </c>
      <c r="D14" s="5">
        <v>421.10300000000001</v>
      </c>
      <c r="E14" s="5">
        <v>423.58999999999992</v>
      </c>
      <c r="F14" s="5">
        <v>417.45800000000003</v>
      </c>
      <c r="G14" s="5">
        <v>412.42700000000002</v>
      </c>
      <c r="H14" s="5">
        <v>405.24200000000002</v>
      </c>
      <c r="I14" s="5">
        <v>389.30700000000002</v>
      </c>
      <c r="J14" s="5">
        <v>382.30699999999996</v>
      </c>
      <c r="K14" s="5">
        <v>381.59199999999998</v>
      </c>
      <c r="L14" s="5">
        <v>390.09800000000001</v>
      </c>
      <c r="M14" s="5">
        <v>402.35599999999999</v>
      </c>
      <c r="N14" s="25">
        <v>2079.8200000000002</v>
      </c>
      <c r="O14" s="25">
        <v>4025.4800000000005</v>
      </c>
      <c r="P14" s="11"/>
    </row>
    <row r="15" spans="1:16">
      <c r="A15" s="1" t="s">
        <v>13</v>
      </c>
      <c r="B15" s="5"/>
      <c r="C15" s="5"/>
      <c r="D15" s="5"/>
      <c r="E15" s="5"/>
      <c r="F15" s="5"/>
      <c r="G15" s="5"/>
      <c r="H15" s="5"/>
      <c r="I15" s="5"/>
      <c r="J15" s="5"/>
      <c r="K15" s="5"/>
      <c r="L15" s="5"/>
      <c r="M15" s="5"/>
      <c r="N15" s="25"/>
      <c r="O15" s="25"/>
      <c r="P15" s="11"/>
    </row>
    <row r="16" spans="1:16">
      <c r="A16" s="144" t="s">
        <v>14</v>
      </c>
      <c r="B16" s="5">
        <v>105.93600000000001</v>
      </c>
      <c r="C16" s="5">
        <v>108.34399999999999</v>
      </c>
      <c r="D16" s="5">
        <v>108.196</v>
      </c>
      <c r="E16" s="5">
        <v>106.72200000000001</v>
      </c>
      <c r="F16" s="5">
        <v>108.02800000000001</v>
      </c>
      <c r="G16" s="5">
        <v>110.01299999999999</v>
      </c>
      <c r="H16" s="5">
        <v>109.556</v>
      </c>
      <c r="I16" s="5">
        <v>110.831</v>
      </c>
      <c r="J16" s="5">
        <v>112.44999999999999</v>
      </c>
      <c r="K16" s="5">
        <v>112.929</v>
      </c>
      <c r="L16" s="5">
        <v>116.393</v>
      </c>
      <c r="M16" s="5">
        <v>118.642</v>
      </c>
      <c r="N16" s="25">
        <v>542.51499999999999</v>
      </c>
      <c r="O16" s="25">
        <v>1113.76</v>
      </c>
      <c r="P16" s="11"/>
    </row>
    <row r="17" spans="1:16">
      <c r="A17" s="144" t="s">
        <v>15</v>
      </c>
      <c r="B17" s="5">
        <v>5.49</v>
      </c>
      <c r="C17" s="5">
        <v>7.8529999999999989</v>
      </c>
      <c r="D17" s="5">
        <v>8.5569999999999986</v>
      </c>
      <c r="E17" s="5">
        <v>9.1580000000000013</v>
      </c>
      <c r="F17" s="5">
        <v>14.822000000000008</v>
      </c>
      <c r="G17" s="5">
        <v>37.887000000000008</v>
      </c>
      <c r="H17" s="5">
        <v>93.911999999999992</v>
      </c>
      <c r="I17" s="5">
        <v>129.70699999999999</v>
      </c>
      <c r="J17" s="5">
        <v>140.53399999999999</v>
      </c>
      <c r="K17" s="5">
        <v>152.88300000000001</v>
      </c>
      <c r="L17" s="5">
        <v>164.50799999999998</v>
      </c>
      <c r="M17" s="5">
        <v>176.40199999999999</v>
      </c>
      <c r="N17" s="25">
        <v>164.33600000000001</v>
      </c>
      <c r="O17" s="25">
        <v>928.37000000000012</v>
      </c>
      <c r="P17" s="11"/>
    </row>
    <row r="18" spans="1:16">
      <c r="A18" s="144" t="s">
        <v>16</v>
      </c>
      <c r="B18" s="5">
        <v>29.461999999999996</v>
      </c>
      <c r="C18" s="5">
        <v>36.405000000000001</v>
      </c>
      <c r="D18" s="5">
        <v>35.206999999999994</v>
      </c>
      <c r="E18" s="5">
        <v>35.860999999999997</v>
      </c>
      <c r="F18" s="5">
        <v>35.609000000000002</v>
      </c>
      <c r="G18" s="5">
        <v>36.166000000000004</v>
      </c>
      <c r="H18" s="5">
        <v>37.441000000000003</v>
      </c>
      <c r="I18" s="5">
        <v>39.227999999999994</v>
      </c>
      <c r="J18" s="5">
        <v>41.391000000000005</v>
      </c>
      <c r="K18" s="5">
        <v>43.98899999999999</v>
      </c>
      <c r="L18" s="5">
        <v>47.152000000000015</v>
      </c>
      <c r="M18" s="5">
        <v>50.675000000000004</v>
      </c>
      <c r="N18" s="25">
        <v>180.28399999999999</v>
      </c>
      <c r="O18" s="25">
        <v>402.71899999999999</v>
      </c>
      <c r="P18" s="11"/>
    </row>
    <row r="19" spans="1:16" ht="17">
      <c r="A19" s="144" t="s">
        <v>17</v>
      </c>
      <c r="B19" s="205">
        <v>42.435000000000002</v>
      </c>
      <c r="C19" s="205">
        <v>44.082999999999991</v>
      </c>
      <c r="D19" s="205">
        <v>49.147999999999996</v>
      </c>
      <c r="E19" s="205">
        <v>49.268000000000001</v>
      </c>
      <c r="F19" s="205">
        <v>50.54399999999999</v>
      </c>
      <c r="G19" s="205">
        <v>50.629999999999995</v>
      </c>
      <c r="H19" s="205">
        <v>52.519000000000005</v>
      </c>
      <c r="I19" s="205">
        <v>54.698000000000008</v>
      </c>
      <c r="J19" s="205">
        <v>56.454999999999998</v>
      </c>
      <c r="K19" s="205">
        <v>58.182000000000002</v>
      </c>
      <c r="L19" s="205">
        <v>59.887999999999998</v>
      </c>
      <c r="M19" s="205">
        <v>61.971000000000004</v>
      </c>
      <c r="N19" s="208">
        <v>252.10899999999998</v>
      </c>
      <c r="O19" s="208">
        <v>543.303</v>
      </c>
      <c r="P19" s="11"/>
    </row>
    <row r="20" spans="1:16">
      <c r="A20" s="145" t="s">
        <v>18</v>
      </c>
      <c r="B20" s="5">
        <v>183.32300000000001</v>
      </c>
      <c r="C20" s="5">
        <v>196.68499999999997</v>
      </c>
      <c r="D20" s="5">
        <v>201.10799999999998</v>
      </c>
      <c r="E20" s="5">
        <v>201.00900000000001</v>
      </c>
      <c r="F20" s="5">
        <v>209.00299999999999</v>
      </c>
      <c r="G20" s="5">
        <v>234.696</v>
      </c>
      <c r="H20" s="5">
        <v>293.428</v>
      </c>
      <c r="I20" s="5">
        <v>334.46400000000006</v>
      </c>
      <c r="J20" s="5">
        <v>350.83</v>
      </c>
      <c r="K20" s="5">
        <v>367.983</v>
      </c>
      <c r="L20" s="5">
        <v>387.94099999999997</v>
      </c>
      <c r="M20" s="5">
        <v>407.69</v>
      </c>
      <c r="N20" s="5">
        <v>1139.2439999999999</v>
      </c>
      <c r="O20" s="5">
        <v>2988.152</v>
      </c>
      <c r="P20" s="11"/>
    </row>
    <row r="21" spans="1:16">
      <c r="A21" s="206" t="s">
        <v>4</v>
      </c>
      <c r="B21" s="17">
        <v>5234.616</v>
      </c>
      <c r="C21" s="17">
        <v>5595.9160000000011</v>
      </c>
      <c r="D21" s="17">
        <v>5885.1980000000003</v>
      </c>
      <c r="E21" s="17">
        <v>6071.4680000000008</v>
      </c>
      <c r="F21" s="17">
        <v>6319.7890000000007</v>
      </c>
      <c r="G21" s="17">
        <v>6594.9989999999998</v>
      </c>
      <c r="H21" s="17">
        <v>6869.4930000000004</v>
      </c>
      <c r="I21" s="17">
        <v>7129.6820000000007</v>
      </c>
      <c r="J21" s="17">
        <v>7391.4759999999997</v>
      </c>
      <c r="K21" s="17">
        <v>7668.9229999999998</v>
      </c>
      <c r="L21" s="17">
        <v>7971.8630000000012</v>
      </c>
      <c r="M21" s="17">
        <v>8300.755000000001</v>
      </c>
      <c r="N21" s="27">
        <v>31740.947</v>
      </c>
      <c r="O21" s="27">
        <v>70203.646000000008</v>
      </c>
      <c r="P21" s="11"/>
    </row>
    <row r="22" spans="1:16">
      <c r="A22" s="207" t="s">
        <v>19</v>
      </c>
      <c r="B22" s="5">
        <v>3950.88</v>
      </c>
      <c r="C22" s="5">
        <v>4245.4710000000014</v>
      </c>
      <c r="D22" s="5">
        <v>4481.4870000000001</v>
      </c>
      <c r="E22" s="5">
        <v>4613.8740000000007</v>
      </c>
      <c r="F22" s="5">
        <v>4804.1660000000011</v>
      </c>
      <c r="G22" s="5">
        <v>5019.0039999999999</v>
      </c>
      <c r="H22" s="5">
        <v>5231.7980000000007</v>
      </c>
      <c r="I22" s="5">
        <v>5430.2930000000006</v>
      </c>
      <c r="J22" s="5">
        <v>5629.4279999999999</v>
      </c>
      <c r="K22" s="5">
        <v>5843.0599999999995</v>
      </c>
      <c r="L22" s="5">
        <v>6079.8410000000013</v>
      </c>
      <c r="M22" s="5">
        <v>6340.0950000000012</v>
      </c>
      <c r="N22" s="25">
        <v>24150.329000000005</v>
      </c>
      <c r="O22" s="25">
        <v>53473.046000000002</v>
      </c>
      <c r="P22" s="11"/>
    </row>
    <row r="23" spans="1:16">
      <c r="A23" s="207" t="s">
        <v>309</v>
      </c>
      <c r="B23" s="21">
        <v>1283.7360000000001</v>
      </c>
      <c r="C23" s="21">
        <v>1350.4449999999999</v>
      </c>
      <c r="D23" s="21">
        <v>1403.711</v>
      </c>
      <c r="E23" s="21">
        <v>1457.5940000000001</v>
      </c>
      <c r="F23" s="21">
        <v>1515.623</v>
      </c>
      <c r="G23" s="21">
        <v>1575.9949999999999</v>
      </c>
      <c r="H23" s="21">
        <v>1637.6949999999999</v>
      </c>
      <c r="I23" s="21">
        <v>1699.3889999999999</v>
      </c>
      <c r="J23" s="21">
        <v>1762.048</v>
      </c>
      <c r="K23" s="21">
        <v>1825.8630000000001</v>
      </c>
      <c r="L23" s="21">
        <v>1892.0219999999999</v>
      </c>
      <c r="M23" s="21">
        <v>1960.66</v>
      </c>
      <c r="N23" s="25">
        <v>7590.6179999999995</v>
      </c>
      <c r="O23" s="25">
        <v>16730.599999999999</v>
      </c>
      <c r="P23" s="11"/>
    </row>
    <row r="24" spans="1:16">
      <c r="P24" s="11"/>
    </row>
    <row r="25" spans="1:16" ht="14.75" customHeight="1">
      <c r="A25" s="16" t="s">
        <v>20</v>
      </c>
      <c r="P25" s="11"/>
    </row>
    <row r="26" spans="1:16">
      <c r="A26" s="1" t="s">
        <v>21</v>
      </c>
      <c r="B26" s="11">
        <v>30362.025000000001</v>
      </c>
      <c r="C26" s="11">
        <v>31902.006000000001</v>
      </c>
      <c r="D26" s="11">
        <v>33315.186999999998</v>
      </c>
      <c r="E26" s="11">
        <v>34665.785000000003</v>
      </c>
      <c r="F26" s="11">
        <v>36010.048999999999</v>
      </c>
      <c r="G26" s="11">
        <v>37390.673000000003</v>
      </c>
      <c r="H26" s="11">
        <v>38812.821000000004</v>
      </c>
      <c r="I26" s="11">
        <v>40276.527000000002</v>
      </c>
      <c r="J26" s="11">
        <v>41795.93</v>
      </c>
      <c r="K26" s="11">
        <v>43373.322999999997</v>
      </c>
      <c r="L26" s="11">
        <v>45011.5</v>
      </c>
      <c r="M26" s="11">
        <v>46712.142</v>
      </c>
      <c r="N26" s="11">
        <v>180194.514</v>
      </c>
      <c r="O26" s="11">
        <v>397363.93599999999</v>
      </c>
      <c r="P26" s="11"/>
    </row>
    <row r="27" spans="1:16">
      <c r="A27" s="1" t="s">
        <v>22</v>
      </c>
      <c r="B27" s="11">
        <v>30101.764999999999</v>
      </c>
      <c r="C27" s="11">
        <v>31847.001</v>
      </c>
      <c r="D27" s="11">
        <v>33301.411999999997</v>
      </c>
      <c r="E27" s="11">
        <v>34665.281000000003</v>
      </c>
      <c r="F27" s="11">
        <v>36013.894999999997</v>
      </c>
      <c r="G27" s="11">
        <v>37396.046000000002</v>
      </c>
      <c r="H27" s="11">
        <v>38818.834000000003</v>
      </c>
      <c r="I27" s="11">
        <v>40282.904000000002</v>
      </c>
      <c r="J27" s="11">
        <v>41802.591999999997</v>
      </c>
      <c r="K27" s="11">
        <v>43380.249000000003</v>
      </c>
      <c r="L27" s="11">
        <v>45018.692000000003</v>
      </c>
      <c r="M27" s="11">
        <v>46719.608</v>
      </c>
      <c r="N27" s="11">
        <v>180195.46799999999</v>
      </c>
      <c r="O27" s="11">
        <v>397399.51299999998</v>
      </c>
      <c r="P27" s="11"/>
    </row>
    <row r="28" spans="1:16">
      <c r="D28" s="11"/>
      <c r="P28" s="11"/>
    </row>
    <row r="29" spans="1:16">
      <c r="B29" s="243" t="s">
        <v>23</v>
      </c>
      <c r="C29" s="243"/>
      <c r="D29" s="243"/>
      <c r="E29" s="243"/>
      <c r="F29" s="243"/>
      <c r="G29" s="243"/>
      <c r="H29" s="243"/>
      <c r="I29" s="243"/>
      <c r="J29" s="243"/>
      <c r="K29" s="243"/>
      <c r="L29" s="243"/>
      <c r="M29" s="243"/>
      <c r="N29" s="243"/>
      <c r="O29" s="243"/>
      <c r="P29" s="11"/>
    </row>
    <row r="30" spans="1:16">
      <c r="A30" s="1" t="s">
        <v>9</v>
      </c>
      <c r="B30" s="22">
        <v>8.7479999999999993</v>
      </c>
      <c r="C30" s="22">
        <v>8.6240000000000006</v>
      </c>
      <c r="D30" s="22">
        <v>8.8460000000000001</v>
      </c>
      <c r="E30" s="22">
        <v>8.7810000000000006</v>
      </c>
      <c r="F30" s="22">
        <v>8.8680000000000003</v>
      </c>
      <c r="G30" s="22">
        <v>8.93</v>
      </c>
      <c r="H30" s="22">
        <v>8.9169999999999998</v>
      </c>
      <c r="I30" s="22">
        <v>8.9239999999999995</v>
      </c>
      <c r="J30" s="22">
        <v>8.9570000000000007</v>
      </c>
      <c r="K30" s="22">
        <v>8.9979999999999993</v>
      </c>
      <c r="L30" s="22">
        <v>9.0459999999999994</v>
      </c>
      <c r="M30" s="22">
        <v>9.0960000000000001</v>
      </c>
      <c r="N30" s="22">
        <v>8.8710000000000004</v>
      </c>
      <c r="O30" s="22">
        <v>8.9459999999999997</v>
      </c>
      <c r="P30" s="171"/>
    </row>
    <row r="31" spans="1:16">
      <c r="A31" s="1" t="s">
        <v>10</v>
      </c>
      <c r="B31" s="22">
        <v>5.758</v>
      </c>
      <c r="C31" s="22">
        <v>5.7220000000000004</v>
      </c>
      <c r="D31" s="22">
        <v>5.6929999999999996</v>
      </c>
      <c r="E31" s="22">
        <v>5.6829999999999998</v>
      </c>
      <c r="F31" s="22">
        <v>5.6890000000000001</v>
      </c>
      <c r="G31" s="22">
        <v>5.7009999999999996</v>
      </c>
      <c r="H31" s="22">
        <v>5.71</v>
      </c>
      <c r="I31" s="22">
        <v>5.7140000000000004</v>
      </c>
      <c r="J31" s="22">
        <v>5.7149999999999999</v>
      </c>
      <c r="K31" s="22">
        <v>5.7119999999999997</v>
      </c>
      <c r="L31" s="22">
        <v>5.71</v>
      </c>
      <c r="M31" s="22">
        <v>5.7069999999999999</v>
      </c>
      <c r="N31" s="22">
        <v>5.6959999999999997</v>
      </c>
      <c r="O31" s="22">
        <v>5.7039999999999997</v>
      </c>
      <c r="P31" s="11"/>
    </row>
    <row r="32" spans="1:16">
      <c r="A32" s="1" t="s">
        <v>11</v>
      </c>
      <c r="B32" s="22">
        <v>1.4890000000000001</v>
      </c>
      <c r="C32" s="22">
        <v>1.266</v>
      </c>
      <c r="D32" s="22">
        <v>1.2589999999999999</v>
      </c>
      <c r="E32" s="22">
        <v>1.248</v>
      </c>
      <c r="F32" s="22">
        <v>1.254</v>
      </c>
      <c r="G32" s="22">
        <v>1.2769999999999999</v>
      </c>
      <c r="H32" s="22">
        <v>1.2709999999999999</v>
      </c>
      <c r="I32" s="22">
        <v>1.266</v>
      </c>
      <c r="J32" s="22">
        <v>1.258</v>
      </c>
      <c r="K32" s="22">
        <v>1.2430000000000001</v>
      </c>
      <c r="L32" s="22">
        <v>1.226</v>
      </c>
      <c r="M32" s="22">
        <v>1.232</v>
      </c>
      <c r="N32" s="22">
        <v>1.262</v>
      </c>
      <c r="O32" s="22">
        <v>1.252</v>
      </c>
      <c r="P32" s="11"/>
    </row>
    <row r="33" spans="1:16">
      <c r="A33" s="1" t="s">
        <v>12</v>
      </c>
      <c r="B33" s="22">
        <v>0.64200000000000002</v>
      </c>
      <c r="C33" s="22">
        <v>1.3109999999999999</v>
      </c>
      <c r="D33" s="22">
        <v>1.264</v>
      </c>
      <c r="E33" s="22">
        <v>1.222</v>
      </c>
      <c r="F33" s="22">
        <v>1.159</v>
      </c>
      <c r="G33" s="22">
        <v>1.103</v>
      </c>
      <c r="H33" s="22">
        <v>1.044</v>
      </c>
      <c r="I33" s="22">
        <v>0.96699999999999997</v>
      </c>
      <c r="J33" s="22">
        <v>0.91500000000000004</v>
      </c>
      <c r="K33" s="22">
        <v>0.88</v>
      </c>
      <c r="L33" s="22">
        <v>0.86699999999999999</v>
      </c>
      <c r="M33" s="22">
        <v>0.86099999999999999</v>
      </c>
      <c r="N33" s="22">
        <v>1.1539999999999999</v>
      </c>
      <c r="O33" s="22">
        <v>1.0129999999999999</v>
      </c>
      <c r="P33" s="11"/>
    </row>
    <row r="34" spans="1:16">
      <c r="A34" s="1" t="s">
        <v>13</v>
      </c>
      <c r="B34" s="22"/>
      <c r="C34" s="22"/>
      <c r="D34" s="22"/>
      <c r="E34" s="22"/>
      <c r="F34" s="22"/>
      <c r="G34" s="22"/>
      <c r="H34" s="22"/>
      <c r="I34" s="22"/>
      <c r="J34" s="22"/>
      <c r="K34" s="22"/>
      <c r="L34" s="22"/>
      <c r="M34" s="22"/>
      <c r="N34" s="22"/>
      <c r="O34" s="22"/>
      <c r="P34" s="11"/>
    </row>
    <row r="35" spans="1:16">
      <c r="A35" s="144" t="s">
        <v>14</v>
      </c>
      <c r="B35" s="22">
        <v>0.34899999999999998</v>
      </c>
      <c r="C35" s="22">
        <v>0.34</v>
      </c>
      <c r="D35" s="22">
        <v>0.32500000000000001</v>
      </c>
      <c r="E35" s="22">
        <v>0.308</v>
      </c>
      <c r="F35" s="22">
        <v>0.3</v>
      </c>
      <c r="G35" s="22">
        <v>0.29399999999999998</v>
      </c>
      <c r="H35" s="22">
        <v>0.28199999999999997</v>
      </c>
      <c r="I35" s="22">
        <v>0.27500000000000002</v>
      </c>
      <c r="J35" s="22">
        <v>0.26900000000000002</v>
      </c>
      <c r="K35" s="22">
        <v>0.26</v>
      </c>
      <c r="L35" s="22">
        <v>0.25900000000000001</v>
      </c>
      <c r="M35" s="22">
        <v>0.254</v>
      </c>
      <c r="N35" s="22">
        <v>0.30099999999999999</v>
      </c>
      <c r="O35" s="22">
        <v>0.28000000000000003</v>
      </c>
      <c r="P35" s="11"/>
    </row>
    <row r="36" spans="1:16">
      <c r="A36" s="144" t="s">
        <v>15</v>
      </c>
      <c r="B36" s="231">
        <v>1.7999999999999999E-2</v>
      </c>
      <c r="C36" s="231">
        <v>2.5000000000000001E-2</v>
      </c>
      <c r="D36" s="231">
        <v>2.5999999999999999E-2</v>
      </c>
      <c r="E36" s="231">
        <v>2.5999999999999999E-2</v>
      </c>
      <c r="F36" s="22">
        <v>4.1000000000000002E-2</v>
      </c>
      <c r="G36" s="22">
        <v>0.10100000000000001</v>
      </c>
      <c r="H36" s="22">
        <v>0.24199999999999999</v>
      </c>
      <c r="I36" s="22">
        <v>0.32200000000000001</v>
      </c>
      <c r="J36" s="22">
        <v>0.33600000000000002</v>
      </c>
      <c r="K36" s="22">
        <v>0.35199999999999998</v>
      </c>
      <c r="L36" s="22">
        <v>0.36499999999999999</v>
      </c>
      <c r="M36" s="22">
        <v>0.378</v>
      </c>
      <c r="N36" s="22">
        <v>9.0999999999999998E-2</v>
      </c>
      <c r="O36" s="22">
        <v>0.23400000000000001</v>
      </c>
      <c r="P36" s="11"/>
    </row>
    <row r="37" spans="1:16">
      <c r="A37" s="144" t="s">
        <v>16</v>
      </c>
      <c r="B37" s="22">
        <v>9.7000000000000003E-2</v>
      </c>
      <c r="C37" s="22">
        <v>0.114</v>
      </c>
      <c r="D37" s="22">
        <v>0.106</v>
      </c>
      <c r="E37" s="22">
        <v>0.10299999999999999</v>
      </c>
      <c r="F37" s="22">
        <v>9.9000000000000005E-2</v>
      </c>
      <c r="G37" s="22">
        <v>9.7000000000000003E-2</v>
      </c>
      <c r="H37" s="22">
        <v>9.6000000000000002E-2</v>
      </c>
      <c r="I37" s="22">
        <v>9.7000000000000003E-2</v>
      </c>
      <c r="J37" s="22">
        <v>9.9000000000000005E-2</v>
      </c>
      <c r="K37" s="22">
        <v>0.10100000000000001</v>
      </c>
      <c r="L37" s="22">
        <v>0.105</v>
      </c>
      <c r="M37" s="22">
        <v>0.108</v>
      </c>
      <c r="N37" s="22">
        <v>0.1</v>
      </c>
      <c r="O37" s="22">
        <v>0.10100000000000001</v>
      </c>
      <c r="P37" s="11"/>
    </row>
    <row r="38" spans="1:16" ht="17">
      <c r="A38" s="144" t="s">
        <v>17</v>
      </c>
      <c r="B38" s="209">
        <v>0.14000000000000001</v>
      </c>
      <c r="C38" s="209">
        <v>0.13800000000000001</v>
      </c>
      <c r="D38" s="209">
        <v>0.14799999999999999</v>
      </c>
      <c r="E38" s="209">
        <v>0.14199999999999999</v>
      </c>
      <c r="F38" s="209">
        <v>0.14000000000000001</v>
      </c>
      <c r="G38" s="209">
        <v>0.13500000000000001</v>
      </c>
      <c r="H38" s="209">
        <v>0.13500000000000001</v>
      </c>
      <c r="I38" s="209">
        <v>0.13600000000000001</v>
      </c>
      <c r="J38" s="209">
        <v>0.13500000000000001</v>
      </c>
      <c r="K38" s="209">
        <v>0.13400000000000001</v>
      </c>
      <c r="L38" s="209">
        <v>0.13300000000000001</v>
      </c>
      <c r="M38" s="209">
        <v>0.13300000000000001</v>
      </c>
      <c r="N38" s="209">
        <v>0.14000000000000001</v>
      </c>
      <c r="O38" s="209">
        <v>0.13700000000000001</v>
      </c>
      <c r="P38" s="11"/>
    </row>
    <row r="39" spans="1:16">
      <c r="A39" s="145" t="s">
        <v>18</v>
      </c>
      <c r="B39" s="22">
        <v>0.60379042570447794</v>
      </c>
      <c r="C39" s="22">
        <v>0.61652862832512778</v>
      </c>
      <c r="D39" s="22">
        <v>0.60365262245113616</v>
      </c>
      <c r="E39" s="22">
        <v>0.57984840095212042</v>
      </c>
      <c r="F39" s="22">
        <v>0.58040187615407024</v>
      </c>
      <c r="G39" s="22">
        <v>0.62768594724144167</v>
      </c>
      <c r="H39" s="22">
        <v>0.7560079181052054</v>
      </c>
      <c r="I39" s="22">
        <v>0.83041916697534535</v>
      </c>
      <c r="J39" s="22">
        <v>0.83938794997503352</v>
      </c>
      <c r="K39" s="22">
        <v>0.84840859437954541</v>
      </c>
      <c r="L39" s="22">
        <v>0.86187085522588669</v>
      </c>
      <c r="M39" s="22">
        <v>0.87277093822843743</v>
      </c>
      <c r="N39" s="22">
        <v>0.63223012438658366</v>
      </c>
      <c r="O39" s="22">
        <v>0.75199375919207723</v>
      </c>
      <c r="P39" s="11"/>
    </row>
    <row r="40" spans="1:16" s="16" customFormat="1">
      <c r="A40" s="206" t="s">
        <v>4</v>
      </c>
      <c r="B40" s="23">
        <v>17.241</v>
      </c>
      <c r="C40" s="23">
        <v>17.541</v>
      </c>
      <c r="D40" s="23">
        <v>17.664999999999999</v>
      </c>
      <c r="E40" s="23">
        <v>17.513999999999999</v>
      </c>
      <c r="F40" s="23">
        <v>17.55</v>
      </c>
      <c r="G40" s="23">
        <v>17.638000000000002</v>
      </c>
      <c r="H40" s="23">
        <v>17.699000000000002</v>
      </c>
      <c r="I40" s="23">
        <v>17.702000000000002</v>
      </c>
      <c r="J40" s="23">
        <v>17.684999999999999</v>
      </c>
      <c r="K40" s="23">
        <v>17.681000000000001</v>
      </c>
      <c r="L40" s="23">
        <v>17.710999999999999</v>
      </c>
      <c r="M40" s="23">
        <v>17.77</v>
      </c>
      <c r="N40" s="23">
        <v>17.614999999999998</v>
      </c>
      <c r="O40" s="23">
        <v>17.667000000000002</v>
      </c>
      <c r="P40" s="11"/>
    </row>
    <row r="41" spans="1:16">
      <c r="A41" s="207" t="s">
        <v>19</v>
      </c>
      <c r="B41" s="22">
        <v>13.013</v>
      </c>
      <c r="C41" s="22">
        <v>13.308</v>
      </c>
      <c r="D41" s="22">
        <v>13.452</v>
      </c>
      <c r="E41" s="22">
        <v>13.31</v>
      </c>
      <c r="F41" s="22">
        <v>13.340999999999999</v>
      </c>
      <c r="G41" s="22">
        <v>13.423</v>
      </c>
      <c r="H41" s="22">
        <v>13.48</v>
      </c>
      <c r="I41" s="22">
        <v>13.483000000000001</v>
      </c>
      <c r="J41" s="22">
        <v>13.468999999999999</v>
      </c>
      <c r="K41" s="22">
        <v>13.472</v>
      </c>
      <c r="L41" s="22">
        <v>13.507</v>
      </c>
      <c r="M41" s="22">
        <v>13.573</v>
      </c>
      <c r="N41" s="22">
        <v>13.401999999999999</v>
      </c>
      <c r="O41" s="22">
        <v>13.457000000000001</v>
      </c>
      <c r="P41" s="11"/>
    </row>
    <row r="42" spans="1:16">
      <c r="A42" s="210" t="s">
        <v>309</v>
      </c>
      <c r="B42" s="24">
        <v>4.2279999999999998</v>
      </c>
      <c r="C42" s="24">
        <v>4.2329999999999997</v>
      </c>
      <c r="D42" s="24">
        <v>4.2130000000000001</v>
      </c>
      <c r="E42" s="24">
        <v>4.2050000000000001</v>
      </c>
      <c r="F42" s="24">
        <v>4.2089999999999996</v>
      </c>
      <c r="G42" s="24">
        <v>4.2149999999999999</v>
      </c>
      <c r="H42" s="24">
        <v>4.2190000000000003</v>
      </c>
      <c r="I42" s="24">
        <v>4.2190000000000003</v>
      </c>
      <c r="J42" s="24">
        <v>4.2160000000000002</v>
      </c>
      <c r="K42" s="24">
        <v>4.21</v>
      </c>
      <c r="L42" s="24">
        <v>4.2030000000000003</v>
      </c>
      <c r="M42" s="24">
        <v>4.1970000000000001</v>
      </c>
      <c r="N42" s="24">
        <v>4.2119999999999997</v>
      </c>
      <c r="O42" s="24">
        <v>4.21</v>
      </c>
      <c r="P42" s="11"/>
    </row>
    <row r="43" spans="1:16">
      <c r="P43" s="11"/>
    </row>
    <row r="44" spans="1:16">
      <c r="A44" s="239" t="s">
        <v>25</v>
      </c>
      <c r="B44" s="14"/>
      <c r="C44" s="14"/>
      <c r="D44" s="14"/>
      <c r="E44" s="14"/>
      <c r="F44" s="14"/>
      <c r="G44" s="14"/>
      <c r="H44" s="14"/>
      <c r="I44" s="14"/>
      <c r="J44" s="14"/>
      <c r="K44" s="14"/>
      <c r="L44" s="14"/>
      <c r="M44" s="14"/>
      <c r="N44" s="14"/>
      <c r="O44" s="14"/>
      <c r="P44" s="11"/>
    </row>
    <row r="45" spans="1:16">
      <c r="B45" s="14"/>
      <c r="C45" s="14"/>
      <c r="D45" s="14"/>
      <c r="E45" s="14"/>
      <c r="F45" s="14"/>
      <c r="G45" s="14"/>
      <c r="H45" s="14"/>
      <c r="I45" s="14"/>
      <c r="J45" s="14"/>
      <c r="K45" s="14"/>
      <c r="L45" s="14"/>
      <c r="M45" s="14"/>
      <c r="N45" s="14"/>
      <c r="O45" s="14"/>
      <c r="P45" s="11"/>
    </row>
    <row r="46" spans="1:16">
      <c r="N46" s="14"/>
      <c r="O46" s="14"/>
      <c r="P46" s="11"/>
    </row>
    <row r="47" spans="1:16">
      <c r="N47" s="14"/>
      <c r="O47" s="14"/>
      <c r="P47" s="11"/>
    </row>
    <row r="48" spans="1:16">
      <c r="N48" s="14"/>
      <c r="O48" s="14"/>
    </row>
    <row r="49" spans="2:15">
      <c r="B49" s="11"/>
      <c r="C49" s="11"/>
      <c r="D49" s="11"/>
      <c r="E49" s="11"/>
      <c r="F49" s="11"/>
      <c r="G49" s="11"/>
      <c r="H49" s="11"/>
      <c r="I49" s="11"/>
      <c r="J49" s="11"/>
      <c r="K49" s="11"/>
      <c r="L49" s="11"/>
      <c r="M49" s="11"/>
      <c r="N49" s="14"/>
      <c r="O49" s="14"/>
    </row>
    <row r="50" spans="2:15">
      <c r="N50" s="14"/>
      <c r="O50" s="14"/>
    </row>
    <row r="51" spans="2:15">
      <c r="N51" s="14"/>
      <c r="O51" s="14"/>
    </row>
    <row r="52" spans="2:15">
      <c r="B52" s="11"/>
      <c r="C52" s="11"/>
      <c r="D52" s="11"/>
      <c r="E52" s="11"/>
      <c r="F52" s="11"/>
      <c r="G52" s="11"/>
      <c r="H52" s="11"/>
      <c r="I52" s="11"/>
      <c r="J52" s="11"/>
      <c r="K52" s="11"/>
      <c r="L52" s="11"/>
      <c r="M52" s="11"/>
      <c r="N52" s="14"/>
      <c r="O52" s="14"/>
    </row>
    <row r="54" spans="2:15">
      <c r="N54" s="14"/>
      <c r="O54" s="14"/>
    </row>
    <row r="55" spans="2:15">
      <c r="N55" s="14"/>
      <c r="O55" s="14"/>
    </row>
    <row r="56" spans="2:15">
      <c r="N56" s="14"/>
      <c r="O56" s="14"/>
    </row>
    <row r="58" spans="2:15">
      <c r="B58" s="214"/>
      <c r="C58" s="214"/>
      <c r="D58" s="214"/>
      <c r="E58" s="214"/>
      <c r="F58" s="214"/>
      <c r="G58" s="214"/>
      <c r="H58" s="214"/>
      <c r="I58" s="214"/>
      <c r="J58" s="214"/>
      <c r="K58" s="214"/>
      <c r="L58" s="214"/>
      <c r="M58" s="214"/>
      <c r="N58" s="214"/>
      <c r="O58" s="214"/>
    </row>
    <row r="59" spans="2:15">
      <c r="B59" s="14"/>
      <c r="C59" s="14"/>
      <c r="D59" s="14"/>
      <c r="E59" s="14"/>
      <c r="F59" s="14"/>
      <c r="G59" s="14"/>
      <c r="H59" s="14"/>
      <c r="I59" s="14"/>
      <c r="J59" s="14"/>
      <c r="K59" s="14"/>
      <c r="L59" s="14"/>
      <c r="M59" s="14"/>
      <c r="N59" s="14"/>
      <c r="O59" s="14"/>
    </row>
    <row r="60" spans="2:15">
      <c r="B60" s="14"/>
      <c r="C60" s="14"/>
      <c r="D60" s="14"/>
      <c r="E60" s="14"/>
      <c r="F60" s="14"/>
      <c r="G60" s="14"/>
      <c r="H60" s="14"/>
      <c r="I60" s="14"/>
      <c r="J60" s="14"/>
      <c r="K60" s="14"/>
      <c r="L60" s="14"/>
      <c r="M60" s="14"/>
      <c r="N60" s="14"/>
      <c r="O60" s="14"/>
    </row>
    <row r="62" spans="2:15">
      <c r="B62" s="14"/>
      <c r="C62" s="14"/>
      <c r="D62" s="14"/>
      <c r="E62" s="14"/>
      <c r="F62" s="14"/>
      <c r="G62" s="14"/>
      <c r="H62" s="14"/>
      <c r="I62" s="14"/>
      <c r="J62" s="14"/>
      <c r="K62" s="14"/>
      <c r="L62" s="14"/>
      <c r="M62" s="14"/>
      <c r="N62" s="14"/>
      <c r="O62" s="14"/>
    </row>
    <row r="63" spans="2:15">
      <c r="B63" s="14"/>
      <c r="C63" s="14"/>
      <c r="D63" s="14"/>
      <c r="E63" s="14"/>
      <c r="F63" s="14"/>
      <c r="G63" s="14"/>
      <c r="H63" s="14"/>
      <c r="I63" s="14"/>
      <c r="J63" s="14"/>
      <c r="K63" s="14"/>
      <c r="L63" s="14"/>
      <c r="M63" s="14"/>
      <c r="N63" s="14"/>
      <c r="O63" s="14"/>
    </row>
    <row r="64" spans="2:15">
      <c r="B64" s="14"/>
      <c r="C64" s="14"/>
      <c r="D64" s="14"/>
      <c r="E64" s="14"/>
      <c r="F64" s="14"/>
      <c r="G64" s="14"/>
      <c r="H64" s="14"/>
      <c r="I64" s="14"/>
      <c r="J64" s="14"/>
      <c r="K64" s="14"/>
      <c r="L64" s="14"/>
      <c r="M64" s="14"/>
      <c r="N64" s="14"/>
      <c r="O64" s="14"/>
    </row>
    <row r="65" spans="2:15">
      <c r="B65" s="14"/>
      <c r="C65" s="14"/>
      <c r="D65" s="14"/>
      <c r="E65" s="14"/>
      <c r="F65" s="14"/>
      <c r="G65" s="14"/>
      <c r="H65" s="14"/>
      <c r="I65" s="14"/>
      <c r="J65" s="14"/>
      <c r="K65" s="14"/>
      <c r="L65" s="14"/>
      <c r="M65" s="14"/>
      <c r="N65" s="14"/>
      <c r="O65" s="14"/>
    </row>
    <row r="66" spans="2:15">
      <c r="B66" s="14"/>
      <c r="C66" s="14"/>
      <c r="D66" s="14"/>
      <c r="E66" s="14"/>
      <c r="F66" s="14"/>
      <c r="G66" s="14"/>
      <c r="H66" s="14"/>
      <c r="I66" s="14"/>
      <c r="J66" s="14"/>
      <c r="K66" s="14"/>
      <c r="L66" s="14"/>
      <c r="M66" s="14"/>
      <c r="N66" s="14"/>
      <c r="O66" s="14"/>
    </row>
    <row r="67" spans="2:15">
      <c r="B67" s="14"/>
      <c r="C67" s="14"/>
      <c r="D67" s="14"/>
      <c r="E67" s="14"/>
      <c r="F67" s="14"/>
      <c r="G67" s="14"/>
      <c r="H67" s="14"/>
      <c r="I67" s="14"/>
      <c r="J67" s="14"/>
      <c r="K67" s="14"/>
      <c r="L67" s="14"/>
      <c r="M67" s="14"/>
      <c r="N67" s="14"/>
      <c r="O67" s="14"/>
    </row>
    <row r="68" spans="2:15">
      <c r="B68" s="14"/>
      <c r="C68" s="14"/>
      <c r="D68" s="14"/>
      <c r="E68" s="14"/>
      <c r="F68" s="14"/>
      <c r="G68" s="14"/>
      <c r="H68" s="14"/>
      <c r="I68" s="14"/>
      <c r="J68" s="14"/>
      <c r="K68" s="14"/>
      <c r="L68" s="14"/>
      <c r="M68" s="14"/>
      <c r="N68" s="14"/>
      <c r="O68" s="14"/>
    </row>
    <row r="69" spans="2:15">
      <c r="B69" s="14"/>
      <c r="C69" s="14"/>
      <c r="D69" s="14"/>
      <c r="E69" s="14"/>
      <c r="F69" s="14"/>
      <c r="G69" s="14"/>
      <c r="H69" s="14"/>
      <c r="I69" s="14"/>
      <c r="J69" s="14"/>
      <c r="K69" s="14"/>
      <c r="L69" s="14"/>
      <c r="M69" s="14"/>
      <c r="N69" s="14"/>
      <c r="O69" s="14"/>
    </row>
    <row r="70" spans="2:15">
      <c r="B70" s="14"/>
      <c r="C70" s="14"/>
      <c r="D70" s="14"/>
      <c r="E70" s="14"/>
      <c r="F70" s="14"/>
      <c r="G70" s="14"/>
      <c r="H70" s="14"/>
      <c r="I70" s="14"/>
      <c r="J70" s="14"/>
      <c r="K70" s="14"/>
      <c r="L70" s="14"/>
      <c r="M70" s="14"/>
      <c r="N70" s="14"/>
      <c r="O70" s="14"/>
    </row>
  </sheetData>
  <mergeCells count="3">
    <mergeCell ref="B29:O29"/>
    <mergeCell ref="N8:O8"/>
    <mergeCell ref="B10:O10"/>
  </mergeCells>
  <hyperlinks>
    <hyperlink ref="A44" location="Contents!A1" display="Back to Table of Contents" xr:uid="{DF3CF6BE-F1AF-49F1-956D-B4D86BEC58E3}"/>
    <hyperlink ref="A2" r:id="rId1" xr:uid="{7A45DDF3-FBC7-664F-9ABC-64978B9441E5}"/>
  </hyperlinks>
  <pageMargins left="0.7" right="0.7" top="0.75" bottom="0.75" header="0.3" footer="0.3"/>
  <pageSetup orientation="portrait" horizontalDpi="4294967295" verticalDpi="4294967295"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9"/>
  <dimension ref="A1:N122"/>
  <sheetViews>
    <sheetView zoomScaleNormal="100" workbookViewId="0"/>
  </sheetViews>
  <sheetFormatPr baseColWidth="10" defaultColWidth="9.5" defaultRowHeight="14"/>
  <cols>
    <col min="1" max="1" width="46.5" style="1" customWidth="1"/>
    <col min="2" max="13" width="9.5" style="1" customWidth="1"/>
    <col min="14" max="14" width="10.33203125" style="1" bestFit="1" customWidth="1"/>
    <col min="15" max="16384" width="9.5" style="1"/>
  </cols>
  <sheetData>
    <row r="1" spans="1:14">
      <c r="A1" s="55" t="s">
        <v>307</v>
      </c>
    </row>
    <row r="2" spans="1:14">
      <c r="A2" s="233" t="s">
        <v>308</v>
      </c>
    </row>
    <row r="5" spans="1:14">
      <c r="A5" s="56" t="s">
        <v>26</v>
      </c>
      <c r="B5" s="190"/>
      <c r="C5" s="190"/>
      <c r="D5" s="190"/>
      <c r="E5" s="190"/>
      <c r="F5" s="190"/>
      <c r="G5" s="190"/>
      <c r="H5" s="190"/>
      <c r="I5" s="190"/>
      <c r="J5" s="190"/>
      <c r="K5" s="190"/>
      <c r="L5" s="190"/>
      <c r="M5" s="190"/>
    </row>
    <row r="6" spans="1:14">
      <c r="A6" s="179" t="s">
        <v>3</v>
      </c>
      <c r="B6" s="179"/>
      <c r="C6" s="179"/>
      <c r="D6" s="179"/>
      <c r="E6" s="179"/>
      <c r="F6" s="179"/>
      <c r="G6" s="179"/>
      <c r="H6" s="179"/>
      <c r="I6" s="179"/>
      <c r="J6" s="179"/>
      <c r="K6" s="179"/>
      <c r="L6" s="179"/>
      <c r="M6" s="179"/>
    </row>
    <row r="7" spans="1:14">
      <c r="A7" s="177"/>
      <c r="B7" s="177"/>
      <c r="C7" s="177"/>
      <c r="D7" s="177"/>
      <c r="E7" s="177"/>
      <c r="F7" s="177"/>
      <c r="G7" s="177"/>
      <c r="H7" s="177"/>
      <c r="I7" s="177"/>
      <c r="J7" s="177"/>
      <c r="K7" s="177"/>
      <c r="L7" s="177"/>
      <c r="M7" s="177"/>
    </row>
    <row r="8" spans="1:14">
      <c r="A8" s="177"/>
      <c r="B8" s="177"/>
      <c r="C8" s="177"/>
      <c r="D8" s="177"/>
      <c r="E8" s="177"/>
      <c r="F8" s="177"/>
      <c r="G8" s="177"/>
      <c r="H8" s="177"/>
      <c r="I8" s="177"/>
      <c r="J8" s="177"/>
      <c r="K8" s="177"/>
      <c r="L8" s="246" t="s">
        <v>4</v>
      </c>
      <c r="M8" s="246"/>
    </row>
    <row r="9" spans="1:14" ht="30">
      <c r="A9" s="179" t="s">
        <v>5</v>
      </c>
      <c r="B9" s="133">
        <v>2026</v>
      </c>
      <c r="C9" s="133">
        <v>2027</v>
      </c>
      <c r="D9" s="133">
        <v>2028</v>
      </c>
      <c r="E9" s="133">
        <v>2029</v>
      </c>
      <c r="F9" s="133">
        <v>2030</v>
      </c>
      <c r="G9" s="133">
        <v>2031</v>
      </c>
      <c r="H9" s="133">
        <v>2032</v>
      </c>
      <c r="I9" s="133">
        <v>2033</v>
      </c>
      <c r="J9" s="133">
        <v>2034</v>
      </c>
      <c r="K9" s="133">
        <v>2035</v>
      </c>
      <c r="L9" s="54" t="s">
        <v>27</v>
      </c>
      <c r="M9" s="54" t="s">
        <v>28</v>
      </c>
    </row>
    <row r="10" spans="1:14">
      <c r="A10" s="2" t="s">
        <v>29</v>
      </c>
      <c r="B10" s="15"/>
      <c r="C10" s="15"/>
      <c r="D10" s="15"/>
      <c r="E10" s="15"/>
      <c r="F10" s="15"/>
      <c r="G10" s="15"/>
      <c r="H10" s="15"/>
      <c r="I10" s="15"/>
      <c r="J10" s="15"/>
      <c r="K10" s="15"/>
      <c r="L10" s="15"/>
      <c r="M10" s="15"/>
    </row>
    <row r="11" spans="1:14" ht="14.75" customHeight="1">
      <c r="A11" s="146" t="s">
        <v>9</v>
      </c>
      <c r="B11" s="15">
        <v>-361.06099999999998</v>
      </c>
      <c r="C11" s="15">
        <v>-479.25</v>
      </c>
      <c r="D11" s="15">
        <v>-493.322</v>
      </c>
      <c r="E11" s="15">
        <v>-456.97500000000002</v>
      </c>
      <c r="F11" s="15">
        <v>-409.63200000000001</v>
      </c>
      <c r="G11" s="15">
        <v>-398.79399999999998</v>
      </c>
      <c r="H11" s="15">
        <v>-414.74</v>
      </c>
      <c r="I11" s="15">
        <v>-434.28500000000003</v>
      </c>
      <c r="J11" s="15">
        <v>-460.73599999999999</v>
      </c>
      <c r="K11" s="15">
        <v>-479.84</v>
      </c>
      <c r="L11" s="15">
        <v>-2200.2399999999998</v>
      </c>
      <c r="M11" s="15">
        <v>-4388.6349999999993</v>
      </c>
      <c r="N11" s="8"/>
    </row>
    <row r="12" spans="1:14">
      <c r="A12" s="146" t="s">
        <v>10</v>
      </c>
      <c r="B12" s="15">
        <v>-0.27400000000000002</v>
      </c>
      <c r="C12" s="15">
        <v>-1.097</v>
      </c>
      <c r="D12" s="15">
        <v>-1.671</v>
      </c>
      <c r="E12" s="15">
        <v>-2.0760000000000001</v>
      </c>
      <c r="F12" s="15">
        <v>-2.379</v>
      </c>
      <c r="G12" s="15">
        <v>-2.6629999999999998</v>
      </c>
      <c r="H12" s="15">
        <v>-2.839</v>
      </c>
      <c r="I12" s="15">
        <v>-3</v>
      </c>
      <c r="J12" s="15">
        <v>-3.2509999999999999</v>
      </c>
      <c r="K12" s="15">
        <v>-3.3690000000000002</v>
      </c>
      <c r="L12" s="15">
        <v>-7.4969999999999999</v>
      </c>
      <c r="M12" s="15">
        <v>-22.619</v>
      </c>
      <c r="N12" s="8"/>
    </row>
    <row r="13" spans="1:14">
      <c r="A13" s="146" t="s">
        <v>11</v>
      </c>
      <c r="B13" s="15">
        <v>-98.25</v>
      </c>
      <c r="C13" s="15">
        <v>-91.441000000000003</v>
      </c>
      <c r="D13" s="15">
        <v>-79.341999999999999</v>
      </c>
      <c r="E13" s="15">
        <v>-58.622</v>
      </c>
      <c r="F13" s="15">
        <v>-25.707999999999998</v>
      </c>
      <c r="G13" s="15">
        <v>-2.0990000000000002</v>
      </c>
      <c r="H13" s="15">
        <v>7.3040000000000003</v>
      </c>
      <c r="I13" s="15">
        <v>1.268</v>
      </c>
      <c r="J13" s="15">
        <v>-1.8140000000000001</v>
      </c>
      <c r="K13" s="15">
        <v>-2.7909999999999999</v>
      </c>
      <c r="L13" s="15">
        <v>-353.36300000000006</v>
      </c>
      <c r="M13" s="15">
        <v>-351.49500000000012</v>
      </c>
      <c r="N13" s="8"/>
    </row>
    <row r="14" spans="1:14">
      <c r="A14" s="144" t="s">
        <v>14</v>
      </c>
      <c r="B14" s="15">
        <v>0.58899999999999997</v>
      </c>
      <c r="C14" s="15">
        <v>1.3049999999999999</v>
      </c>
      <c r="D14" s="15">
        <v>1.4570000000000001</v>
      </c>
      <c r="E14" s="15">
        <v>1.4430000000000001</v>
      </c>
      <c r="F14" s="15">
        <v>1.4750000000000001</v>
      </c>
      <c r="G14" s="15">
        <v>1.4890000000000001</v>
      </c>
      <c r="H14" s="15">
        <v>1.5249999999999999</v>
      </c>
      <c r="I14" s="15">
        <v>1.958</v>
      </c>
      <c r="J14" s="15">
        <v>2.1920000000000002</v>
      </c>
      <c r="K14" s="15">
        <v>2.2229999999999999</v>
      </c>
      <c r="L14" s="15">
        <v>6.2690000000000001</v>
      </c>
      <c r="M14" s="15">
        <v>15.655999999999999</v>
      </c>
      <c r="N14" s="8"/>
    </row>
    <row r="15" spans="1:14">
      <c r="A15" s="144" t="s">
        <v>15</v>
      </c>
      <c r="B15" s="61">
        <v>2.4E-2</v>
      </c>
      <c r="C15" s="61">
        <v>2.5999999999999999E-2</v>
      </c>
      <c r="D15" s="61">
        <v>2.5999999999999999E-2</v>
      </c>
      <c r="E15" s="61">
        <v>3.3000000000000002E-2</v>
      </c>
      <c r="F15" s="61">
        <v>0.93</v>
      </c>
      <c r="G15" s="61">
        <v>0.249</v>
      </c>
      <c r="H15" s="61">
        <v>0.27300000000000002</v>
      </c>
      <c r="I15" s="61">
        <v>0.3</v>
      </c>
      <c r="J15" s="61">
        <v>0.32800000000000001</v>
      </c>
      <c r="K15" s="61">
        <v>0.34100000000000003</v>
      </c>
      <c r="L15" s="15">
        <v>1.0390000000000001</v>
      </c>
      <c r="M15" s="15">
        <v>2.5300000000000007</v>
      </c>
      <c r="N15" s="8"/>
    </row>
    <row r="16" spans="1:14">
      <c r="A16" s="144" t="s">
        <v>12</v>
      </c>
      <c r="B16" s="15">
        <v>0</v>
      </c>
      <c r="C16" s="15">
        <v>1.643</v>
      </c>
      <c r="D16" s="15">
        <v>6.6520000000000001</v>
      </c>
      <c r="E16" s="15">
        <v>6.7389999999999999</v>
      </c>
      <c r="F16" s="15">
        <v>6.8529999999999998</v>
      </c>
      <c r="G16" s="15">
        <v>7.0190000000000001</v>
      </c>
      <c r="H16" s="15">
        <v>7.2050000000000001</v>
      </c>
      <c r="I16" s="15">
        <v>7.3959999999999999</v>
      </c>
      <c r="J16" s="15">
        <v>7.5839999999999996</v>
      </c>
      <c r="K16" s="15">
        <v>7.7750000000000004</v>
      </c>
      <c r="L16" s="15">
        <v>21.887</v>
      </c>
      <c r="M16" s="15">
        <v>58.865999999999993</v>
      </c>
      <c r="N16" s="8"/>
    </row>
    <row r="17" spans="1:14">
      <c r="A17" s="144" t="s">
        <v>16</v>
      </c>
      <c r="B17" s="15">
        <v>-2.76</v>
      </c>
      <c r="C17" s="15">
        <v>-18.3</v>
      </c>
      <c r="D17" s="15">
        <v>-20.55</v>
      </c>
      <c r="E17" s="15">
        <v>-21.504000000000001</v>
      </c>
      <c r="F17" s="15">
        <v>-22.785</v>
      </c>
      <c r="G17" s="15">
        <v>-24.238</v>
      </c>
      <c r="H17" s="15">
        <v>-25.991</v>
      </c>
      <c r="I17" s="15">
        <v>-27.952999999999999</v>
      </c>
      <c r="J17" s="15">
        <v>-30.076000000000001</v>
      </c>
      <c r="K17" s="15">
        <v>-32.683</v>
      </c>
      <c r="L17" s="15">
        <v>-85.899000000000001</v>
      </c>
      <c r="M17" s="15">
        <v>-226.83999999999997</v>
      </c>
      <c r="N17" s="8"/>
    </row>
    <row r="18" spans="1:14">
      <c r="A18" s="144" t="s">
        <v>17</v>
      </c>
      <c r="B18" s="232">
        <v>-0.26</v>
      </c>
      <c r="C18" s="232">
        <v>3.0919999999999996</v>
      </c>
      <c r="D18" s="232">
        <v>3.4809999999999999</v>
      </c>
      <c r="E18" s="232">
        <v>3.657</v>
      </c>
      <c r="F18" s="232">
        <v>5.1469999999999994</v>
      </c>
      <c r="G18" s="232">
        <v>5.6829999999999998</v>
      </c>
      <c r="H18" s="232">
        <v>5.9470000000000001</v>
      </c>
      <c r="I18" s="232">
        <v>5.8360000000000003</v>
      </c>
      <c r="J18" s="232">
        <v>6.0060000000000002</v>
      </c>
      <c r="K18" s="232">
        <v>6.5120000000000005</v>
      </c>
      <c r="L18" s="232">
        <v>15.116999999999997</v>
      </c>
      <c r="M18" s="232">
        <v>45.100999999999999</v>
      </c>
      <c r="N18" s="8"/>
    </row>
    <row r="19" spans="1:14">
      <c r="A19" s="147" t="s">
        <v>18</v>
      </c>
      <c r="B19" s="15">
        <v>-461.99200000000002</v>
      </c>
      <c r="C19" s="15">
        <v>-584.02200000000005</v>
      </c>
      <c r="D19" s="15">
        <v>-583.26900000000001</v>
      </c>
      <c r="E19" s="15">
        <v>-527.30499999999995</v>
      </c>
      <c r="F19" s="15">
        <v>-446.09899999999999</v>
      </c>
      <c r="G19" s="15">
        <v>-413.35399999999998</v>
      </c>
      <c r="H19" s="15">
        <v>-421.31599999999997</v>
      </c>
      <c r="I19" s="15">
        <v>-448.48</v>
      </c>
      <c r="J19" s="15">
        <v>-479.767</v>
      </c>
      <c r="K19" s="15">
        <v>-501.83199999999999</v>
      </c>
      <c r="L19" s="15">
        <v>-2602.6870000000004</v>
      </c>
      <c r="M19" s="15">
        <v>-4867.4360000000006</v>
      </c>
      <c r="N19" s="8"/>
    </row>
    <row r="20" spans="1:14">
      <c r="A20" s="2"/>
      <c r="B20" s="15"/>
      <c r="C20" s="15"/>
      <c r="D20" s="15"/>
      <c r="E20" s="15"/>
      <c r="F20" s="15"/>
      <c r="G20" s="15"/>
      <c r="H20" s="15"/>
      <c r="I20" s="15"/>
      <c r="J20" s="15"/>
      <c r="K20" s="15"/>
      <c r="L20" s="15"/>
      <c r="M20" s="136"/>
      <c r="N20" s="8"/>
    </row>
    <row r="21" spans="1:14">
      <c r="A21" s="2" t="s">
        <v>30</v>
      </c>
      <c r="B21" s="15"/>
      <c r="C21" s="15"/>
      <c r="D21" s="15"/>
      <c r="E21" s="15"/>
      <c r="F21" s="15"/>
      <c r="G21" s="15"/>
      <c r="H21" s="15"/>
      <c r="I21" s="15"/>
      <c r="J21" s="15"/>
      <c r="K21" s="15"/>
      <c r="L21" s="15"/>
      <c r="M21" s="15"/>
      <c r="N21" s="8"/>
    </row>
    <row r="22" spans="1:14">
      <c r="A22" s="146" t="s">
        <v>9</v>
      </c>
      <c r="B22" s="160">
        <v>111.645</v>
      </c>
      <c r="C22" s="160">
        <v>132.697</v>
      </c>
      <c r="D22" s="160">
        <v>108.14700000000001</v>
      </c>
      <c r="E22" s="160">
        <v>74.710999999999999</v>
      </c>
      <c r="F22" s="160">
        <v>55.712000000000003</v>
      </c>
      <c r="G22" s="160">
        <v>44.195999999999998</v>
      </c>
      <c r="H22" s="160">
        <v>38.765999999999998</v>
      </c>
      <c r="I22" s="160">
        <v>35.372999999999998</v>
      </c>
      <c r="J22" s="160">
        <v>30.381</v>
      </c>
      <c r="K22" s="160">
        <v>28.023</v>
      </c>
      <c r="L22" s="15">
        <v>482.91199999999998</v>
      </c>
      <c r="M22" s="15">
        <v>659.65099999999995</v>
      </c>
      <c r="N22" s="8"/>
    </row>
    <row r="23" spans="1:14">
      <c r="A23" s="146" t="s">
        <v>10</v>
      </c>
      <c r="B23" s="160">
        <v>-5.6920000000000002</v>
      </c>
      <c r="C23" s="160">
        <v>-5.7709999999999999</v>
      </c>
      <c r="D23" s="160">
        <v>-5.452</v>
      </c>
      <c r="E23" s="160">
        <v>-5.375</v>
      </c>
      <c r="F23" s="160">
        <v>-8.3580000000000005</v>
      </c>
      <c r="G23" s="160">
        <v>-10.016</v>
      </c>
      <c r="H23" s="160">
        <v>-12.744999999999999</v>
      </c>
      <c r="I23" s="160">
        <v>-15.298999999999999</v>
      </c>
      <c r="J23" s="160">
        <v>-18.413</v>
      </c>
      <c r="K23" s="160">
        <v>-22.047999999999998</v>
      </c>
      <c r="L23" s="15">
        <v>-30.648</v>
      </c>
      <c r="M23" s="15">
        <v>-109.169</v>
      </c>
      <c r="N23" s="8"/>
    </row>
    <row r="24" spans="1:14">
      <c r="A24" s="146" t="s">
        <v>11</v>
      </c>
      <c r="B24" s="15">
        <v>27.757000000000001</v>
      </c>
      <c r="C24" s="15">
        <v>37.524999999999999</v>
      </c>
      <c r="D24" s="15">
        <v>38.942</v>
      </c>
      <c r="E24" s="15">
        <v>38.133000000000003</v>
      </c>
      <c r="F24" s="15">
        <v>36.670999999999999</v>
      </c>
      <c r="G24" s="15">
        <v>34.258000000000003</v>
      </c>
      <c r="H24" s="15">
        <v>31.565999999999999</v>
      </c>
      <c r="I24" s="15">
        <v>29.34</v>
      </c>
      <c r="J24" s="15">
        <v>28.425000000000001</v>
      </c>
      <c r="K24" s="15">
        <v>27.795000000000002</v>
      </c>
      <c r="L24" s="15">
        <v>179.02799999999999</v>
      </c>
      <c r="M24" s="15">
        <v>330.41200000000003</v>
      </c>
      <c r="N24" s="8"/>
    </row>
    <row r="25" spans="1:14">
      <c r="A25" s="144" t="s">
        <v>14</v>
      </c>
      <c r="B25" s="15">
        <v>0.46200000000000002</v>
      </c>
      <c r="C25" s="15">
        <v>0.74299999999999999</v>
      </c>
      <c r="D25" s="15">
        <v>0.90900000000000003</v>
      </c>
      <c r="E25" s="15">
        <v>0.98299999999999998</v>
      </c>
      <c r="F25" s="15">
        <v>1.0149999999999999</v>
      </c>
      <c r="G25" s="15">
        <v>1.008</v>
      </c>
      <c r="H25" s="15">
        <v>0.97199999999999998</v>
      </c>
      <c r="I25" s="15">
        <v>0.93500000000000005</v>
      </c>
      <c r="J25" s="15">
        <v>0.91900000000000004</v>
      </c>
      <c r="K25" s="15">
        <v>0.93100000000000005</v>
      </c>
      <c r="L25" s="15">
        <v>4.1120000000000001</v>
      </c>
      <c r="M25" s="15">
        <v>8.8770000000000024</v>
      </c>
      <c r="N25" s="8"/>
    </row>
    <row r="26" spans="1:14">
      <c r="A26" s="144" t="s">
        <v>15</v>
      </c>
      <c r="B26" s="15">
        <v>0.54900000000000004</v>
      </c>
      <c r="C26" s="15">
        <v>-0.104</v>
      </c>
      <c r="D26" s="15">
        <v>-0.26300000000000001</v>
      </c>
      <c r="E26" s="15">
        <v>0.13</v>
      </c>
      <c r="F26" s="15">
        <v>2.5009999999999999</v>
      </c>
      <c r="G26" s="15">
        <v>7.2869999999999999</v>
      </c>
      <c r="H26" s="15">
        <v>9.3019999999999996</v>
      </c>
      <c r="I26" s="15">
        <v>11.712</v>
      </c>
      <c r="J26" s="15">
        <v>14.333</v>
      </c>
      <c r="K26" s="15">
        <v>16.608000000000001</v>
      </c>
      <c r="L26" s="15">
        <v>2.8129999999999997</v>
      </c>
      <c r="M26" s="15">
        <v>62.055000000000007</v>
      </c>
      <c r="N26" s="8"/>
    </row>
    <row r="27" spans="1:14">
      <c r="A27" s="144" t="s">
        <v>12</v>
      </c>
      <c r="B27" s="15">
        <v>-17.097999999999999</v>
      </c>
      <c r="C27" s="15">
        <v>-19.727</v>
      </c>
      <c r="D27" s="15">
        <v>-28.84</v>
      </c>
      <c r="E27" s="15">
        <v>-34.652000000000001</v>
      </c>
      <c r="F27" s="15">
        <v>-38.188000000000002</v>
      </c>
      <c r="G27" s="15">
        <v>-42.426000000000002</v>
      </c>
      <c r="H27" s="15">
        <v>-49.286999999999999</v>
      </c>
      <c r="I27" s="15">
        <v>-55.381</v>
      </c>
      <c r="J27" s="15">
        <v>-59.271999999999998</v>
      </c>
      <c r="K27" s="15">
        <v>-62.954000000000001</v>
      </c>
      <c r="L27" s="15">
        <v>-138.505</v>
      </c>
      <c r="M27" s="15">
        <v>-407.82499999999999</v>
      </c>
      <c r="N27" s="8"/>
    </row>
    <row r="28" spans="1:14">
      <c r="A28" s="144" t="s">
        <v>16</v>
      </c>
      <c r="B28" s="15">
        <v>4.3330000000000002</v>
      </c>
      <c r="C28" s="15">
        <v>4.7779999999999996</v>
      </c>
      <c r="D28" s="15">
        <v>3.8140000000000001</v>
      </c>
      <c r="E28" s="15">
        <v>3.0840000000000001</v>
      </c>
      <c r="F28" s="15">
        <v>2.5990000000000002</v>
      </c>
      <c r="G28" s="15">
        <v>2.282</v>
      </c>
      <c r="H28" s="15">
        <v>2.0979999999999999</v>
      </c>
      <c r="I28" s="15">
        <v>1.966</v>
      </c>
      <c r="J28" s="15">
        <v>1.944</v>
      </c>
      <c r="K28" s="15">
        <v>1.9910000000000001</v>
      </c>
      <c r="L28" s="15">
        <v>18.608000000000001</v>
      </c>
      <c r="M28" s="15">
        <v>28.888999999999999</v>
      </c>
      <c r="N28" s="8"/>
    </row>
    <row r="29" spans="1:14">
      <c r="A29" s="144" t="s">
        <v>17</v>
      </c>
      <c r="B29" s="232">
        <v>0</v>
      </c>
      <c r="C29" s="232">
        <v>0</v>
      </c>
      <c r="D29" s="232">
        <v>0</v>
      </c>
      <c r="E29" s="232">
        <v>0</v>
      </c>
      <c r="F29" s="232">
        <v>0</v>
      </c>
      <c r="G29" s="232">
        <v>0</v>
      </c>
      <c r="H29" s="232">
        <v>0</v>
      </c>
      <c r="I29" s="232">
        <v>0</v>
      </c>
      <c r="J29" s="232">
        <v>0</v>
      </c>
      <c r="K29" s="232">
        <v>0</v>
      </c>
      <c r="L29" s="232">
        <v>0</v>
      </c>
      <c r="M29" s="232">
        <v>0</v>
      </c>
      <c r="N29" s="8"/>
    </row>
    <row r="30" spans="1:14">
      <c r="A30" s="147" t="s">
        <v>18</v>
      </c>
      <c r="B30" s="15">
        <v>121.956</v>
      </c>
      <c r="C30" s="15">
        <v>150.14099999999999</v>
      </c>
      <c r="D30" s="15">
        <v>117.25700000000001</v>
      </c>
      <c r="E30" s="15">
        <v>77.013999999999996</v>
      </c>
      <c r="F30" s="15">
        <v>51.951999999999998</v>
      </c>
      <c r="G30" s="15">
        <v>36.588999999999999</v>
      </c>
      <c r="H30" s="15">
        <v>20.672000000000001</v>
      </c>
      <c r="I30" s="15">
        <v>8.6460000000000008</v>
      </c>
      <c r="J30" s="15">
        <v>-1.6830000000000001</v>
      </c>
      <c r="K30" s="15">
        <v>-9.6539999999999999</v>
      </c>
      <c r="L30" s="15">
        <v>518.31999999999994</v>
      </c>
      <c r="M30" s="15">
        <v>572.88999999999987</v>
      </c>
      <c r="N30" s="8"/>
    </row>
    <row r="31" spans="1:14">
      <c r="A31" s="177"/>
      <c r="B31" s="15"/>
      <c r="C31" s="15"/>
      <c r="D31" s="15"/>
      <c r="E31" s="15"/>
      <c r="F31" s="15"/>
      <c r="G31" s="15"/>
      <c r="H31" s="15"/>
      <c r="I31" s="15"/>
      <c r="J31" s="15"/>
      <c r="K31" s="15"/>
      <c r="L31" s="2"/>
      <c r="M31" s="130"/>
      <c r="N31" s="8"/>
    </row>
    <row r="32" spans="1:14">
      <c r="A32" s="2" t="s">
        <v>31</v>
      </c>
      <c r="B32" s="2"/>
      <c r="C32" s="2"/>
      <c r="D32" s="2"/>
      <c r="E32" s="2"/>
      <c r="F32" s="2"/>
      <c r="G32" s="2"/>
      <c r="H32" s="2"/>
      <c r="I32" s="2"/>
      <c r="J32" s="2"/>
      <c r="K32" s="2"/>
      <c r="L32" s="2"/>
      <c r="M32" s="130"/>
      <c r="N32" s="8"/>
    </row>
    <row r="33" spans="1:14">
      <c r="A33" s="146" t="s">
        <v>9</v>
      </c>
      <c r="B33" s="15">
        <v>32.286999999999999</v>
      </c>
      <c r="C33" s="15">
        <v>40.685000000000002</v>
      </c>
      <c r="D33" s="15">
        <v>73.959999999999994</v>
      </c>
      <c r="E33" s="15">
        <v>120.59099999999999</v>
      </c>
      <c r="F33" s="15">
        <v>109.161</v>
      </c>
      <c r="G33" s="15">
        <v>95.037000000000006</v>
      </c>
      <c r="H33" s="15">
        <v>100.518</v>
      </c>
      <c r="I33" s="15">
        <v>106.06699999999999</v>
      </c>
      <c r="J33" s="15">
        <v>112.617</v>
      </c>
      <c r="K33" s="15">
        <v>110.89400000000001</v>
      </c>
      <c r="L33" s="15">
        <v>376.68400000000003</v>
      </c>
      <c r="M33" s="15">
        <v>901.81700000000001</v>
      </c>
      <c r="N33" s="8"/>
    </row>
    <row r="34" spans="1:14">
      <c r="A34" s="146" t="s">
        <v>10</v>
      </c>
      <c r="B34" s="15">
        <v>-8.7159999999999993</v>
      </c>
      <c r="C34" s="15">
        <v>-11.818</v>
      </c>
      <c r="D34" s="15">
        <v>-12.693</v>
      </c>
      <c r="E34" s="15">
        <v>-15.959</v>
      </c>
      <c r="F34" s="15">
        <v>-13.186</v>
      </c>
      <c r="G34" s="15">
        <v>-12.807</v>
      </c>
      <c r="H34" s="15">
        <v>-12.25</v>
      </c>
      <c r="I34" s="15">
        <v>-11.669</v>
      </c>
      <c r="J34" s="15">
        <v>-10.975</v>
      </c>
      <c r="K34" s="15">
        <v>-9.7560000000000002</v>
      </c>
      <c r="L34" s="15">
        <v>-62.371999999999993</v>
      </c>
      <c r="M34" s="15">
        <v>-119.82899999999998</v>
      </c>
      <c r="N34" s="8"/>
    </row>
    <row r="35" spans="1:14">
      <c r="A35" s="146" t="s">
        <v>11</v>
      </c>
      <c r="B35" s="15">
        <v>-20.675000000000001</v>
      </c>
      <c r="C35" s="15">
        <v>4.2370000000000001</v>
      </c>
      <c r="D35" s="15">
        <v>10.596</v>
      </c>
      <c r="E35" s="15">
        <v>19.216000000000001</v>
      </c>
      <c r="F35" s="15">
        <v>16.222999999999999</v>
      </c>
      <c r="G35" s="15">
        <v>5.5289999999999999</v>
      </c>
      <c r="H35" s="15">
        <v>3.1949999999999998</v>
      </c>
      <c r="I35" s="15">
        <v>2.181</v>
      </c>
      <c r="J35" s="15">
        <v>9.0779999999999994</v>
      </c>
      <c r="K35" s="15">
        <v>9.7870000000000008</v>
      </c>
      <c r="L35" s="15">
        <v>29.596999999999998</v>
      </c>
      <c r="M35" s="15">
        <v>59.366999999999997</v>
      </c>
      <c r="N35" s="8"/>
    </row>
    <row r="36" spans="1:14">
      <c r="A36" s="144" t="s">
        <v>14</v>
      </c>
      <c r="B36" s="15">
        <v>10.035</v>
      </c>
      <c r="C36" s="15">
        <v>9.0779999999999994</v>
      </c>
      <c r="D36" s="15">
        <v>8.9320000000000004</v>
      </c>
      <c r="E36" s="15">
        <v>9.5060000000000002</v>
      </c>
      <c r="F36" s="15">
        <v>10.571999999999999</v>
      </c>
      <c r="G36" s="15">
        <v>11.85</v>
      </c>
      <c r="H36" s="15">
        <v>13.039</v>
      </c>
      <c r="I36" s="15">
        <v>13.778</v>
      </c>
      <c r="J36" s="15">
        <v>14.641</v>
      </c>
      <c r="K36" s="15">
        <v>15.648999999999999</v>
      </c>
      <c r="L36" s="15">
        <v>48.123000000000005</v>
      </c>
      <c r="M36" s="15">
        <v>117.08000000000001</v>
      </c>
      <c r="N36" s="8"/>
    </row>
    <row r="37" spans="1:14">
      <c r="A37" s="144" t="s">
        <v>15</v>
      </c>
      <c r="B37" s="15">
        <v>-0.19900000000000001</v>
      </c>
      <c r="C37" s="15">
        <v>0.108</v>
      </c>
      <c r="D37" s="15">
        <v>-1.0229999999999999</v>
      </c>
      <c r="E37" s="15">
        <v>1.526</v>
      </c>
      <c r="F37" s="15">
        <v>-26.129000000000001</v>
      </c>
      <c r="G37" s="15">
        <v>-25.295000000000002</v>
      </c>
      <c r="H37" s="15">
        <v>-7.1079999999999997</v>
      </c>
      <c r="I37" s="15">
        <v>-6.9980000000000002</v>
      </c>
      <c r="J37" s="15">
        <v>-7.1260000000000003</v>
      </c>
      <c r="K37" s="15">
        <v>-7.3840000000000003</v>
      </c>
      <c r="L37" s="15">
        <v>-25.717000000000002</v>
      </c>
      <c r="M37" s="15">
        <v>-79.628</v>
      </c>
      <c r="N37" s="8"/>
    </row>
    <row r="38" spans="1:14">
      <c r="A38" s="144" t="s">
        <v>12</v>
      </c>
      <c r="B38" s="15">
        <v>351.84399999999999</v>
      </c>
      <c r="C38" s="15">
        <v>352.512</v>
      </c>
      <c r="D38" s="15">
        <v>356.66799999999995</v>
      </c>
      <c r="E38" s="15">
        <v>354.58000000000004</v>
      </c>
      <c r="F38" s="15">
        <v>351.274</v>
      </c>
      <c r="G38" s="15">
        <v>345.85599999999999</v>
      </c>
      <c r="H38" s="15">
        <v>334.09500000000003</v>
      </c>
      <c r="I38" s="15">
        <v>330.48599999999999</v>
      </c>
      <c r="J38" s="15">
        <v>330.94799999999998</v>
      </c>
      <c r="K38" s="15">
        <v>340.47200000000004</v>
      </c>
      <c r="L38" s="15">
        <v>1766.8779999999997</v>
      </c>
      <c r="M38" s="15">
        <v>3448.7349999999997</v>
      </c>
      <c r="N38" s="8"/>
    </row>
    <row r="39" spans="1:14">
      <c r="A39" s="144" t="s">
        <v>16</v>
      </c>
      <c r="B39" s="159">
        <v>-3.798</v>
      </c>
      <c r="C39" s="159">
        <v>-5.5</v>
      </c>
      <c r="D39" s="159">
        <v>-3.593</v>
      </c>
      <c r="E39" s="159">
        <v>-3.5</v>
      </c>
      <c r="F39" s="159">
        <v>-3.4420000000000002</v>
      </c>
      <c r="G39" s="159">
        <v>-3.4660000000000002</v>
      </c>
      <c r="H39" s="159">
        <v>-3.5059999999999998</v>
      </c>
      <c r="I39" s="159">
        <v>-3.552</v>
      </c>
      <c r="J39" s="159">
        <v>-3.4430000000000001</v>
      </c>
      <c r="K39" s="159">
        <v>-3.4740000000000002</v>
      </c>
      <c r="L39" s="15">
        <v>-19.832999999999998</v>
      </c>
      <c r="M39" s="15">
        <v>-37.274000000000001</v>
      </c>
      <c r="N39" s="8"/>
    </row>
    <row r="40" spans="1:14">
      <c r="A40" s="144" t="s">
        <v>17</v>
      </c>
      <c r="B40" s="232">
        <v>-5.1660000000000004</v>
      </c>
      <c r="C40" s="232">
        <v>-5.0599999999999996</v>
      </c>
      <c r="D40" s="232">
        <v>-3.7690000000000001</v>
      </c>
      <c r="E40" s="232">
        <v>-5.7779999999999996</v>
      </c>
      <c r="F40" s="232">
        <v>-4.8239999999999998</v>
      </c>
      <c r="G40" s="232">
        <v>-4.58</v>
      </c>
      <c r="H40" s="232">
        <v>-4.0049999999999999</v>
      </c>
      <c r="I40" s="232">
        <v>-3.4980000000000002</v>
      </c>
      <c r="J40" s="232">
        <v>-3.653</v>
      </c>
      <c r="K40" s="232">
        <v>-4.258</v>
      </c>
      <c r="L40" s="232">
        <v>-24.597000000000001</v>
      </c>
      <c r="M40" s="232">
        <v>-44.591000000000001</v>
      </c>
      <c r="N40" s="8"/>
    </row>
    <row r="41" spans="1:14">
      <c r="A41" s="114" t="s">
        <v>18</v>
      </c>
      <c r="B41" s="15">
        <v>355.61200000000002</v>
      </c>
      <c r="C41" s="15">
        <v>384.24200000000002</v>
      </c>
      <c r="D41" s="15">
        <v>429.07799999999997</v>
      </c>
      <c r="E41" s="15">
        <v>480.18200000000002</v>
      </c>
      <c r="F41" s="15">
        <v>439.649</v>
      </c>
      <c r="G41" s="15">
        <v>412.12400000000002</v>
      </c>
      <c r="H41" s="15">
        <v>423.97800000000001</v>
      </c>
      <c r="I41" s="15">
        <v>426.79500000000002</v>
      </c>
      <c r="J41" s="15">
        <v>442.08699999999999</v>
      </c>
      <c r="K41" s="15">
        <v>451.93</v>
      </c>
      <c r="L41" s="15">
        <v>2088.7629999999999</v>
      </c>
      <c r="M41" s="15">
        <v>4245.6769999999997</v>
      </c>
      <c r="N41" s="8"/>
    </row>
    <row r="42" spans="1:14">
      <c r="A42" s="177"/>
      <c r="B42" s="15"/>
      <c r="C42" s="15"/>
      <c r="D42" s="15"/>
      <c r="E42" s="15"/>
      <c r="F42" s="15"/>
      <c r="G42" s="15"/>
      <c r="H42" s="15"/>
      <c r="I42" s="15"/>
      <c r="J42" s="15"/>
      <c r="K42" s="15"/>
      <c r="L42" s="15"/>
      <c r="M42" s="136"/>
      <c r="N42" s="61"/>
    </row>
    <row r="43" spans="1:14">
      <c r="A43" s="148" t="s">
        <v>32</v>
      </c>
      <c r="B43" s="161">
        <v>15.576000000000022</v>
      </c>
      <c r="C43" s="161">
        <v>-49.639000000000067</v>
      </c>
      <c r="D43" s="161">
        <v>-36.934000000000026</v>
      </c>
      <c r="E43" s="161">
        <v>29.891000000000076</v>
      </c>
      <c r="F43" s="161">
        <v>45.50200000000001</v>
      </c>
      <c r="G43" s="161">
        <v>35.359000000000037</v>
      </c>
      <c r="H43" s="161">
        <v>23.33400000000006</v>
      </c>
      <c r="I43" s="161">
        <v>-13.038999999999987</v>
      </c>
      <c r="J43" s="161">
        <v>-39.363</v>
      </c>
      <c r="K43" s="161">
        <v>-59.555999999999983</v>
      </c>
      <c r="L43" s="161">
        <v>4.396000000000015</v>
      </c>
      <c r="M43" s="161">
        <v>-48.868999999999858</v>
      </c>
    </row>
    <row r="44" spans="1:14">
      <c r="A44" s="177"/>
      <c r="B44" s="61"/>
      <c r="C44" s="61"/>
      <c r="D44" s="61"/>
      <c r="E44" s="61"/>
      <c r="F44" s="61"/>
      <c r="G44" s="61"/>
      <c r="H44" s="61"/>
      <c r="I44" s="61"/>
      <c r="J44" s="61"/>
      <c r="K44" s="61"/>
      <c r="L44" s="61"/>
      <c r="M44" s="61"/>
    </row>
    <row r="45" spans="1:14">
      <c r="A45" s="1" t="s">
        <v>24</v>
      </c>
      <c r="B45" s="247"/>
      <c r="C45" s="247"/>
      <c r="D45" s="247"/>
      <c r="E45" s="247"/>
      <c r="F45" s="247"/>
      <c r="G45" s="247"/>
      <c r="H45" s="247"/>
      <c r="I45" s="247"/>
      <c r="J45" s="247"/>
      <c r="K45" s="247"/>
      <c r="L45" s="247"/>
      <c r="M45" s="247"/>
    </row>
    <row r="46" spans="1:14">
      <c r="A46" s="52"/>
      <c r="B46" s="52"/>
      <c r="C46" s="52"/>
      <c r="D46" s="52"/>
      <c r="E46" s="52"/>
      <c r="F46" s="52"/>
      <c r="G46" s="52"/>
      <c r="H46" s="52"/>
      <c r="I46" s="52"/>
      <c r="J46" s="52"/>
      <c r="K46" s="52"/>
      <c r="L46" s="52"/>
      <c r="M46" s="52"/>
    </row>
    <row r="47" spans="1:14">
      <c r="A47" s="177"/>
      <c r="B47" s="15"/>
      <c r="C47" s="15"/>
      <c r="D47" s="15"/>
      <c r="E47" s="15"/>
      <c r="F47" s="15"/>
      <c r="G47" s="15"/>
      <c r="H47" s="15"/>
      <c r="I47" s="15"/>
      <c r="J47" s="15"/>
      <c r="K47" s="15"/>
      <c r="L47" s="15"/>
      <c r="M47" s="15"/>
    </row>
    <row r="48" spans="1:14">
      <c r="A48" s="239" t="s">
        <v>25</v>
      </c>
      <c r="B48" s="15"/>
      <c r="C48" s="15"/>
      <c r="D48" s="15"/>
      <c r="E48" s="15"/>
      <c r="F48" s="15"/>
      <c r="G48" s="15"/>
      <c r="H48" s="15"/>
      <c r="I48" s="15"/>
      <c r="J48" s="15"/>
      <c r="K48" s="15"/>
      <c r="L48" s="15"/>
      <c r="M48" s="15"/>
    </row>
    <row r="49" spans="1:13">
      <c r="A49" s="177"/>
      <c r="B49" s="15"/>
      <c r="C49" s="15"/>
      <c r="D49" s="15"/>
      <c r="E49" s="15"/>
      <c r="F49" s="15"/>
      <c r="G49" s="15"/>
      <c r="H49" s="15"/>
      <c r="I49" s="15"/>
      <c r="J49" s="15"/>
      <c r="K49" s="15"/>
      <c r="L49" s="15"/>
      <c r="M49" s="15"/>
    </row>
    <row r="50" spans="1:13">
      <c r="A50" s="177"/>
      <c r="B50" s="15"/>
      <c r="C50" s="15"/>
      <c r="D50" s="15"/>
      <c r="E50" s="15"/>
      <c r="F50" s="15"/>
      <c r="G50" s="15"/>
      <c r="H50" s="15"/>
      <c r="I50" s="15"/>
      <c r="J50" s="15"/>
      <c r="K50" s="15"/>
      <c r="L50" s="15"/>
      <c r="M50" s="15"/>
    </row>
    <row r="51" spans="1:13">
      <c r="A51" s="177"/>
      <c r="B51" s="15"/>
      <c r="C51" s="15"/>
      <c r="D51" s="15"/>
      <c r="E51" s="15"/>
      <c r="F51" s="15"/>
      <c r="G51" s="15"/>
      <c r="H51" s="15"/>
      <c r="I51" s="15"/>
      <c r="J51" s="15"/>
      <c r="K51" s="15"/>
      <c r="L51" s="15"/>
      <c r="M51" s="15"/>
    </row>
    <row r="52" spans="1:13" ht="15.75" customHeight="1">
      <c r="A52" s="177"/>
      <c r="B52" s="15"/>
      <c r="C52" s="15"/>
      <c r="D52" s="15"/>
      <c r="E52" s="15"/>
      <c r="F52" s="15"/>
      <c r="G52" s="15"/>
      <c r="H52" s="15"/>
      <c r="I52" s="15"/>
      <c r="J52" s="15"/>
      <c r="K52" s="15"/>
      <c r="L52" s="15"/>
      <c r="M52" s="15"/>
    </row>
    <row r="53" spans="1:13">
      <c r="A53" s="177"/>
      <c r="B53" s="15"/>
      <c r="C53" s="15"/>
      <c r="D53" s="15"/>
      <c r="E53" s="15"/>
      <c r="F53" s="15"/>
      <c r="G53" s="15"/>
      <c r="H53" s="15"/>
      <c r="I53" s="15"/>
      <c r="J53" s="15"/>
      <c r="K53" s="15"/>
      <c r="L53" s="15"/>
      <c r="M53" s="15"/>
    </row>
    <row r="54" spans="1:13" ht="15" customHeight="1">
      <c r="A54" s="177"/>
      <c r="B54" s="15"/>
      <c r="C54" s="15"/>
      <c r="D54" s="15"/>
      <c r="E54" s="15"/>
      <c r="F54" s="15"/>
      <c r="G54" s="15"/>
      <c r="H54" s="15"/>
      <c r="I54" s="15"/>
      <c r="J54" s="15"/>
      <c r="K54" s="15"/>
      <c r="L54" s="15"/>
      <c r="M54" s="15"/>
    </row>
    <row r="55" spans="1:13">
      <c r="A55" s="2"/>
      <c r="B55" s="2"/>
      <c r="C55" s="2"/>
      <c r="D55" s="2"/>
      <c r="E55" s="2"/>
      <c r="F55" s="2"/>
      <c r="G55" s="2"/>
      <c r="H55" s="2"/>
      <c r="I55" s="2"/>
      <c r="J55" s="2"/>
      <c r="K55" s="2"/>
      <c r="L55" s="2"/>
      <c r="M55" s="2"/>
    </row>
    <row r="56" spans="1:13" ht="15" customHeight="1">
      <c r="A56" s="2"/>
      <c r="B56" s="15"/>
      <c r="C56" s="15"/>
      <c r="D56" s="15"/>
      <c r="E56" s="15"/>
      <c r="F56" s="15"/>
      <c r="G56" s="15"/>
      <c r="H56" s="15"/>
      <c r="I56" s="15"/>
      <c r="J56" s="15"/>
      <c r="K56" s="15"/>
      <c r="L56" s="15"/>
      <c r="M56" s="15"/>
    </row>
    <row r="57" spans="1:13">
      <c r="A57" s="177"/>
      <c r="B57" s="15"/>
      <c r="C57" s="15"/>
      <c r="D57" s="15"/>
      <c r="E57" s="15"/>
      <c r="F57" s="15"/>
      <c r="G57" s="15"/>
      <c r="H57" s="15"/>
      <c r="I57" s="15"/>
      <c r="J57" s="15"/>
      <c r="K57" s="15"/>
      <c r="L57" s="15"/>
      <c r="M57" s="15"/>
    </row>
    <row r="58" spans="1:13" ht="16.5" customHeight="1">
      <c r="A58" s="177"/>
      <c r="B58" s="15"/>
      <c r="C58" s="15"/>
      <c r="D58" s="15"/>
      <c r="E58" s="15"/>
      <c r="F58" s="15"/>
      <c r="G58" s="15"/>
      <c r="H58" s="15"/>
      <c r="I58" s="15"/>
      <c r="J58" s="15"/>
      <c r="K58" s="15"/>
      <c r="L58" s="15"/>
      <c r="M58" s="15"/>
    </row>
    <row r="59" spans="1:13">
      <c r="A59" s="177"/>
      <c r="B59" s="15"/>
      <c r="C59" s="15"/>
      <c r="D59" s="15"/>
      <c r="E59" s="15"/>
      <c r="F59" s="15"/>
      <c r="G59" s="15"/>
      <c r="H59" s="15"/>
      <c r="I59" s="15"/>
      <c r="J59" s="15"/>
      <c r="K59" s="15"/>
      <c r="L59" s="15"/>
      <c r="M59" s="15"/>
    </row>
    <row r="60" spans="1:13">
      <c r="A60" s="177"/>
      <c r="B60" s="15"/>
      <c r="C60" s="15"/>
      <c r="D60" s="15"/>
      <c r="E60" s="15"/>
      <c r="F60" s="15"/>
      <c r="G60" s="15"/>
      <c r="H60" s="15"/>
      <c r="I60" s="15"/>
      <c r="J60" s="15"/>
      <c r="K60" s="15"/>
      <c r="L60" s="15"/>
      <c r="M60" s="15"/>
    </row>
    <row r="61" spans="1:13">
      <c r="A61" s="177"/>
      <c r="B61" s="15"/>
      <c r="C61" s="15"/>
      <c r="D61" s="15"/>
      <c r="E61" s="15"/>
      <c r="F61" s="15"/>
      <c r="G61" s="15"/>
      <c r="H61" s="15"/>
      <c r="I61" s="15"/>
      <c r="J61" s="15"/>
      <c r="K61" s="15"/>
      <c r="L61" s="15"/>
      <c r="M61" s="15"/>
    </row>
    <row r="62" spans="1:13">
      <c r="A62" s="177"/>
      <c r="B62" s="15"/>
      <c r="C62" s="15"/>
      <c r="D62" s="15"/>
      <c r="E62" s="15"/>
      <c r="F62" s="15"/>
      <c r="G62" s="15"/>
      <c r="H62" s="15"/>
      <c r="I62" s="15"/>
      <c r="J62" s="15"/>
      <c r="K62" s="15"/>
      <c r="L62" s="15"/>
      <c r="M62" s="15"/>
    </row>
    <row r="63" spans="1:13">
      <c r="A63" s="177"/>
      <c r="B63" s="15"/>
      <c r="C63" s="15"/>
      <c r="D63" s="15"/>
      <c r="E63" s="15"/>
      <c r="F63" s="15"/>
      <c r="G63" s="15"/>
      <c r="H63" s="15"/>
      <c r="I63" s="15"/>
      <c r="J63" s="15"/>
      <c r="K63" s="15"/>
      <c r="L63" s="15"/>
      <c r="M63" s="15"/>
    </row>
    <row r="64" spans="1:13">
      <c r="A64" s="177"/>
      <c r="B64" s="15"/>
      <c r="C64" s="15"/>
      <c r="D64" s="15"/>
      <c r="E64" s="15"/>
      <c r="F64" s="15"/>
      <c r="G64" s="15"/>
      <c r="H64" s="15"/>
      <c r="I64" s="15"/>
      <c r="J64" s="15"/>
      <c r="K64" s="15"/>
      <c r="L64" s="15"/>
      <c r="M64" s="15"/>
    </row>
    <row r="65" spans="1:13">
      <c r="A65" s="177"/>
      <c r="B65" s="15"/>
      <c r="C65" s="15"/>
      <c r="D65" s="15"/>
      <c r="E65" s="15"/>
      <c r="F65" s="15"/>
      <c r="G65" s="15"/>
      <c r="H65" s="15"/>
      <c r="I65" s="15"/>
      <c r="J65" s="15"/>
      <c r="K65" s="15"/>
      <c r="L65" s="15"/>
      <c r="M65" s="15"/>
    </row>
    <row r="66" spans="1:13" ht="12" customHeight="1">
      <c r="A66" s="177"/>
      <c r="B66" s="15"/>
      <c r="C66" s="15"/>
      <c r="D66" s="15"/>
      <c r="E66" s="15"/>
      <c r="F66" s="15"/>
      <c r="G66" s="15"/>
      <c r="H66" s="15"/>
      <c r="I66" s="15"/>
      <c r="J66" s="15"/>
      <c r="K66" s="15"/>
      <c r="L66" s="15"/>
      <c r="M66" s="15"/>
    </row>
    <row r="67" spans="1:13">
      <c r="A67" s="177"/>
      <c r="B67" s="15"/>
      <c r="C67" s="15"/>
      <c r="D67" s="15"/>
      <c r="E67" s="15"/>
      <c r="F67" s="15"/>
      <c r="G67" s="15"/>
      <c r="H67" s="15"/>
      <c r="I67" s="15"/>
      <c r="J67" s="15"/>
      <c r="K67" s="15"/>
      <c r="L67" s="15"/>
      <c r="M67" s="15"/>
    </row>
    <row r="68" spans="1:13" ht="15" customHeight="1">
      <c r="A68" s="177"/>
      <c r="B68" s="15"/>
      <c r="C68" s="15"/>
      <c r="D68" s="15"/>
      <c r="E68" s="15"/>
      <c r="F68" s="15"/>
      <c r="G68" s="15"/>
      <c r="H68" s="15"/>
      <c r="I68" s="15"/>
      <c r="J68" s="15"/>
      <c r="K68" s="15"/>
      <c r="L68" s="15"/>
      <c r="M68" s="15"/>
    </row>
    <row r="69" spans="1:13">
      <c r="A69" s="177"/>
      <c r="B69" s="15"/>
      <c r="C69" s="15"/>
      <c r="D69" s="15"/>
      <c r="E69" s="15"/>
      <c r="F69" s="15"/>
      <c r="G69" s="15"/>
      <c r="H69" s="15"/>
      <c r="I69" s="15"/>
      <c r="J69" s="15"/>
      <c r="K69" s="15"/>
      <c r="L69" s="15"/>
      <c r="M69" s="15"/>
    </row>
    <row r="70" spans="1:13" ht="15" customHeight="1">
      <c r="A70" s="177"/>
      <c r="B70" s="15"/>
      <c r="C70" s="15"/>
      <c r="D70" s="15"/>
      <c r="E70" s="15"/>
      <c r="F70" s="15"/>
      <c r="G70" s="15"/>
      <c r="H70" s="15"/>
      <c r="I70" s="15"/>
      <c r="J70" s="15"/>
      <c r="K70" s="15"/>
      <c r="L70" s="15"/>
      <c r="M70" s="15"/>
    </row>
    <row r="71" spans="1:13">
      <c r="A71" s="177"/>
      <c r="B71" s="15"/>
      <c r="C71" s="15"/>
      <c r="D71" s="15"/>
      <c r="E71" s="15"/>
      <c r="F71" s="15"/>
      <c r="G71" s="15"/>
      <c r="H71" s="15"/>
      <c r="I71" s="15"/>
      <c r="J71" s="15"/>
      <c r="K71" s="15"/>
      <c r="L71" s="15"/>
      <c r="M71" s="15"/>
    </row>
    <row r="72" spans="1:13">
      <c r="A72" s="177"/>
      <c r="B72" s="15"/>
      <c r="C72" s="15"/>
      <c r="D72" s="15"/>
      <c r="E72" s="15"/>
      <c r="F72" s="15"/>
      <c r="G72" s="15"/>
      <c r="H72" s="15"/>
      <c r="I72" s="15"/>
      <c r="J72" s="15"/>
      <c r="K72" s="15"/>
      <c r="L72" s="15"/>
      <c r="M72" s="15"/>
    </row>
    <row r="73" spans="1:13">
      <c r="A73" s="177"/>
      <c r="B73" s="15"/>
      <c r="C73" s="15"/>
      <c r="D73" s="15"/>
      <c r="E73" s="15"/>
      <c r="F73" s="15"/>
      <c r="G73" s="15"/>
      <c r="H73" s="15"/>
      <c r="I73" s="15"/>
      <c r="J73" s="15"/>
      <c r="K73" s="15"/>
      <c r="L73" s="15"/>
      <c r="M73" s="15"/>
    </row>
    <row r="74" spans="1:13" ht="16.5" customHeight="1">
      <c r="A74" s="177"/>
      <c r="B74" s="15"/>
      <c r="C74" s="15"/>
      <c r="D74" s="15"/>
      <c r="E74" s="15"/>
      <c r="F74" s="15"/>
      <c r="G74" s="15"/>
      <c r="H74" s="15"/>
      <c r="I74" s="15"/>
      <c r="J74" s="15"/>
      <c r="K74" s="15"/>
      <c r="L74" s="15"/>
      <c r="M74" s="15"/>
    </row>
    <row r="75" spans="1:13">
      <c r="A75" s="177"/>
      <c r="B75" s="15"/>
      <c r="C75" s="15"/>
      <c r="D75" s="15"/>
      <c r="E75" s="15"/>
      <c r="F75" s="15"/>
      <c r="G75" s="15"/>
      <c r="H75" s="15"/>
      <c r="I75" s="15"/>
      <c r="J75" s="15"/>
      <c r="K75" s="15"/>
      <c r="L75" s="15"/>
      <c r="M75" s="15"/>
    </row>
    <row r="76" spans="1:13" ht="15" customHeight="1">
      <c r="A76" s="177"/>
      <c r="B76" s="15"/>
      <c r="C76" s="15"/>
      <c r="D76" s="15"/>
      <c r="E76" s="15"/>
      <c r="F76" s="15"/>
      <c r="G76" s="15"/>
      <c r="H76" s="15"/>
      <c r="I76" s="15"/>
      <c r="J76" s="15"/>
      <c r="K76" s="15"/>
      <c r="L76" s="15"/>
      <c r="M76" s="15"/>
    </row>
    <row r="77" spans="1:13">
      <c r="A77" s="177"/>
      <c r="B77" s="15"/>
      <c r="C77" s="15"/>
      <c r="D77" s="15"/>
      <c r="E77" s="15"/>
      <c r="F77" s="15"/>
      <c r="G77" s="15"/>
      <c r="H77" s="15"/>
      <c r="I77" s="15"/>
      <c r="J77" s="15"/>
      <c r="K77" s="15"/>
      <c r="L77" s="15"/>
      <c r="M77" s="15"/>
    </row>
    <row r="78" spans="1:13">
      <c r="A78" s="177"/>
      <c r="B78" s="2"/>
      <c r="C78" s="2"/>
      <c r="D78" s="2"/>
      <c r="E78" s="2"/>
      <c r="F78" s="2"/>
      <c r="G78" s="2"/>
      <c r="H78" s="2"/>
      <c r="I78" s="2"/>
      <c r="J78" s="2"/>
      <c r="K78" s="2"/>
      <c r="L78" s="2"/>
      <c r="M78" s="2"/>
    </row>
    <row r="79" spans="1:13">
      <c r="A79" s="2"/>
      <c r="B79" s="2"/>
      <c r="C79" s="2"/>
      <c r="D79" s="2"/>
      <c r="E79" s="2"/>
      <c r="F79" s="2"/>
      <c r="G79" s="2"/>
      <c r="H79" s="2"/>
      <c r="I79" s="2"/>
      <c r="J79" s="2"/>
      <c r="K79" s="2"/>
      <c r="L79" s="2"/>
      <c r="M79" s="2"/>
    </row>
    <row r="80" spans="1:13">
      <c r="A80" s="177"/>
      <c r="B80" s="2"/>
      <c r="C80" s="2"/>
      <c r="D80" s="2"/>
      <c r="E80" s="2"/>
      <c r="F80" s="2"/>
      <c r="G80" s="2"/>
      <c r="H80" s="2"/>
      <c r="I80" s="2"/>
      <c r="J80" s="2"/>
      <c r="K80" s="2"/>
      <c r="L80" s="2"/>
      <c r="M80" s="2"/>
    </row>
    <row r="81" spans="1:13">
      <c r="A81" s="177"/>
      <c r="B81" s="15"/>
      <c r="C81" s="15"/>
      <c r="D81" s="15"/>
      <c r="E81" s="15"/>
      <c r="F81" s="15"/>
      <c r="G81" s="15"/>
      <c r="H81" s="15"/>
      <c r="I81" s="15"/>
      <c r="J81" s="15"/>
      <c r="K81" s="15"/>
      <c r="L81" s="15"/>
      <c r="M81" s="15"/>
    </row>
    <row r="82" spans="1:13">
      <c r="A82" s="177"/>
      <c r="B82" s="15"/>
      <c r="C82" s="15"/>
      <c r="D82" s="15"/>
      <c r="E82" s="15"/>
      <c r="F82" s="15"/>
      <c r="G82" s="15"/>
      <c r="H82" s="15"/>
      <c r="I82" s="15"/>
      <c r="J82" s="15"/>
      <c r="K82" s="15"/>
      <c r="L82" s="15"/>
      <c r="M82" s="15"/>
    </row>
    <row r="83" spans="1:13">
      <c r="A83" s="177"/>
      <c r="B83" s="15"/>
      <c r="C83" s="15"/>
      <c r="D83" s="15"/>
      <c r="E83" s="15"/>
      <c r="F83" s="15"/>
      <c r="G83" s="15"/>
      <c r="H83" s="15"/>
      <c r="I83" s="15"/>
      <c r="J83" s="15"/>
      <c r="K83" s="15"/>
      <c r="L83" s="15"/>
      <c r="M83" s="15"/>
    </row>
    <row r="84" spans="1:13">
      <c r="A84" s="177"/>
      <c r="B84" s="15"/>
      <c r="C84" s="15"/>
      <c r="D84" s="15"/>
      <c r="E84" s="15"/>
      <c r="F84" s="15"/>
      <c r="G84" s="15"/>
      <c r="H84" s="15"/>
      <c r="I84" s="15"/>
      <c r="J84" s="15"/>
      <c r="K84" s="15"/>
      <c r="L84" s="15"/>
      <c r="M84" s="15"/>
    </row>
    <row r="85" spans="1:13">
      <c r="A85" s="177"/>
      <c r="B85" s="15"/>
      <c r="C85" s="15"/>
      <c r="D85" s="15"/>
      <c r="E85" s="15"/>
      <c r="F85" s="15"/>
      <c r="G85" s="15"/>
      <c r="H85" s="15"/>
      <c r="I85" s="15"/>
      <c r="J85" s="15"/>
      <c r="K85" s="15"/>
      <c r="L85" s="15"/>
      <c r="M85" s="15"/>
    </row>
    <row r="86" spans="1:13">
      <c r="A86" s="177"/>
      <c r="B86" s="15"/>
      <c r="C86" s="15"/>
      <c r="D86" s="15"/>
      <c r="E86" s="15"/>
      <c r="F86" s="15"/>
      <c r="G86" s="15"/>
      <c r="H86" s="15"/>
      <c r="I86" s="15"/>
      <c r="J86" s="15"/>
      <c r="K86" s="15"/>
      <c r="L86" s="15"/>
      <c r="M86" s="15"/>
    </row>
    <row r="87" spans="1:13" ht="12" customHeight="1">
      <c r="A87" s="177"/>
      <c r="B87" s="15"/>
      <c r="C87" s="15"/>
      <c r="D87" s="15"/>
      <c r="E87" s="15"/>
      <c r="F87" s="15"/>
      <c r="G87" s="15"/>
      <c r="H87" s="15"/>
      <c r="I87" s="15"/>
      <c r="J87" s="15"/>
      <c r="K87" s="15"/>
      <c r="L87" s="15"/>
      <c r="M87" s="15"/>
    </row>
    <row r="88" spans="1:13">
      <c r="A88" s="177"/>
      <c r="B88" s="15"/>
      <c r="C88" s="15"/>
      <c r="D88" s="15"/>
      <c r="E88" s="15"/>
      <c r="F88" s="15"/>
      <c r="G88" s="15"/>
      <c r="H88" s="15"/>
      <c r="I88" s="15"/>
      <c r="J88" s="15"/>
      <c r="K88" s="15"/>
      <c r="L88" s="15"/>
      <c r="M88" s="15"/>
    </row>
    <row r="89" spans="1:13">
      <c r="A89" s="177"/>
      <c r="B89" s="2"/>
      <c r="C89" s="2"/>
      <c r="D89" s="2"/>
      <c r="E89" s="2"/>
      <c r="F89" s="2"/>
      <c r="G89" s="2"/>
      <c r="H89" s="2"/>
      <c r="I89" s="2"/>
      <c r="J89" s="2"/>
      <c r="K89" s="2"/>
      <c r="L89" s="2"/>
      <c r="M89" s="2"/>
    </row>
    <row r="90" spans="1:13">
      <c r="A90" s="177"/>
      <c r="B90" s="15"/>
      <c r="C90" s="15"/>
      <c r="D90" s="15"/>
      <c r="E90" s="15"/>
      <c r="F90" s="15"/>
      <c r="G90" s="15"/>
      <c r="H90" s="15"/>
      <c r="I90" s="15"/>
      <c r="J90" s="15"/>
      <c r="K90" s="15"/>
      <c r="L90" s="15"/>
      <c r="M90" s="15"/>
    </row>
    <row r="91" spans="1:13">
      <c r="A91" s="177"/>
      <c r="B91" s="2"/>
      <c r="C91" s="2"/>
      <c r="D91" s="2"/>
      <c r="E91" s="2"/>
      <c r="F91" s="2"/>
      <c r="G91" s="2"/>
      <c r="H91" s="2"/>
      <c r="I91" s="2"/>
      <c r="J91" s="2"/>
      <c r="K91" s="2"/>
      <c r="L91" s="2"/>
      <c r="M91" s="2"/>
    </row>
    <row r="92" spans="1:13">
      <c r="A92" s="177"/>
      <c r="B92" s="2"/>
      <c r="C92" s="2"/>
      <c r="D92" s="2"/>
      <c r="E92" s="2"/>
      <c r="F92" s="2"/>
      <c r="G92" s="2"/>
      <c r="H92" s="2"/>
      <c r="I92" s="2"/>
      <c r="J92" s="2"/>
      <c r="K92" s="2"/>
      <c r="L92" s="2"/>
      <c r="M92" s="2"/>
    </row>
    <row r="93" spans="1:13">
      <c r="A93" s="177"/>
      <c r="B93" s="15"/>
      <c r="C93" s="15"/>
      <c r="D93" s="15"/>
      <c r="E93" s="15"/>
      <c r="F93" s="15"/>
      <c r="G93" s="15"/>
      <c r="H93" s="15"/>
      <c r="I93" s="15"/>
      <c r="J93" s="15"/>
      <c r="K93" s="15"/>
      <c r="L93" s="15"/>
      <c r="M93" s="15"/>
    </row>
    <row r="94" spans="1:13">
      <c r="A94" s="177"/>
      <c r="B94" s="15"/>
      <c r="C94" s="15"/>
      <c r="D94" s="15"/>
      <c r="E94" s="15"/>
      <c r="F94" s="15"/>
      <c r="G94" s="15"/>
      <c r="H94" s="15"/>
      <c r="I94" s="15"/>
      <c r="J94" s="15"/>
      <c r="K94" s="15"/>
      <c r="L94" s="15"/>
      <c r="M94" s="15"/>
    </row>
    <row r="95" spans="1:13" ht="12" customHeight="1">
      <c r="A95" s="177"/>
      <c r="B95" s="15"/>
      <c r="C95" s="15"/>
      <c r="D95" s="15"/>
      <c r="E95" s="15"/>
      <c r="F95" s="15"/>
      <c r="G95" s="15"/>
      <c r="H95" s="15"/>
      <c r="I95" s="15"/>
      <c r="J95" s="15"/>
      <c r="K95" s="15"/>
      <c r="L95" s="15"/>
      <c r="M95" s="15"/>
    </row>
    <row r="96" spans="1:13">
      <c r="A96" s="177"/>
      <c r="B96" s="15"/>
      <c r="C96" s="15"/>
      <c r="D96" s="15"/>
      <c r="E96" s="15"/>
      <c r="F96" s="15"/>
      <c r="G96" s="15"/>
      <c r="H96" s="15"/>
      <c r="I96" s="15"/>
      <c r="J96" s="15"/>
      <c r="K96" s="15"/>
      <c r="L96" s="15"/>
      <c r="M96" s="15"/>
    </row>
    <row r="97" spans="1:13">
      <c r="A97" s="177"/>
      <c r="B97" s="2"/>
      <c r="C97" s="2"/>
      <c r="D97" s="2"/>
      <c r="E97" s="2"/>
      <c r="F97" s="2"/>
      <c r="G97" s="2"/>
      <c r="H97" s="2"/>
      <c r="I97" s="2"/>
      <c r="J97" s="2"/>
      <c r="K97" s="2"/>
      <c r="L97" s="2"/>
      <c r="M97" s="2"/>
    </row>
    <row r="98" spans="1:13">
      <c r="A98" s="177"/>
      <c r="B98" s="15"/>
      <c r="C98" s="15"/>
      <c r="D98" s="15"/>
      <c r="E98" s="15"/>
      <c r="F98" s="15"/>
      <c r="G98" s="15"/>
      <c r="H98" s="15"/>
      <c r="I98" s="15"/>
      <c r="J98" s="15"/>
      <c r="K98" s="15"/>
      <c r="L98" s="15"/>
      <c r="M98" s="15"/>
    </row>
    <row r="99" spans="1:13">
      <c r="A99" s="177"/>
      <c r="B99" s="15"/>
      <c r="C99" s="15"/>
      <c r="D99" s="15"/>
      <c r="E99" s="15"/>
      <c r="F99" s="15"/>
      <c r="G99" s="15"/>
      <c r="H99" s="15"/>
      <c r="I99" s="15"/>
      <c r="J99" s="15"/>
      <c r="K99" s="15"/>
      <c r="L99" s="15"/>
      <c r="M99" s="15"/>
    </row>
    <row r="100" spans="1:13">
      <c r="A100" s="177"/>
      <c r="B100" s="15"/>
      <c r="C100" s="15"/>
      <c r="D100" s="15"/>
      <c r="E100" s="15"/>
      <c r="F100" s="15"/>
      <c r="G100" s="15"/>
      <c r="H100" s="15"/>
      <c r="I100" s="15"/>
      <c r="J100" s="15"/>
      <c r="K100" s="15"/>
      <c r="L100" s="15"/>
      <c r="M100" s="15"/>
    </row>
    <row r="101" spans="1:13">
      <c r="A101" s="177"/>
      <c r="B101" s="2"/>
      <c r="C101" s="2"/>
      <c r="D101" s="2"/>
      <c r="E101" s="2"/>
      <c r="F101" s="2"/>
      <c r="G101" s="2"/>
      <c r="H101" s="2"/>
      <c r="I101" s="2"/>
      <c r="J101" s="2"/>
      <c r="K101" s="2"/>
      <c r="L101" s="2"/>
      <c r="M101" s="2"/>
    </row>
    <row r="102" spans="1:13">
      <c r="A102" s="177"/>
      <c r="B102" s="182"/>
      <c r="C102" s="182"/>
      <c r="D102" s="182"/>
      <c r="E102" s="182"/>
      <c r="F102" s="182"/>
      <c r="G102" s="182"/>
      <c r="H102" s="182"/>
      <c r="I102" s="182"/>
      <c r="J102" s="182"/>
      <c r="K102" s="182"/>
      <c r="L102" s="182"/>
      <c r="M102" s="182"/>
    </row>
    <row r="103" spans="1:13">
      <c r="A103" s="2"/>
      <c r="B103" s="15"/>
      <c r="C103" s="15"/>
      <c r="D103" s="15"/>
      <c r="E103" s="15"/>
      <c r="F103" s="15"/>
      <c r="G103" s="15"/>
      <c r="H103" s="15"/>
      <c r="I103" s="15"/>
      <c r="J103" s="15"/>
      <c r="K103" s="15"/>
      <c r="L103" s="15"/>
      <c r="M103" s="15"/>
    </row>
    <row r="104" spans="1:13">
      <c r="A104" s="177"/>
      <c r="B104" s="2"/>
      <c r="C104" s="2"/>
      <c r="D104" s="2"/>
      <c r="E104" s="2"/>
      <c r="F104" s="2"/>
      <c r="G104" s="2"/>
      <c r="H104" s="2"/>
      <c r="I104" s="2"/>
      <c r="J104" s="2"/>
      <c r="K104" s="2"/>
      <c r="L104" s="2"/>
      <c r="M104" s="2"/>
    </row>
    <row r="105" spans="1:13">
      <c r="A105" s="2"/>
      <c r="B105" s="15"/>
      <c r="C105" s="15"/>
      <c r="D105" s="15"/>
      <c r="E105" s="15"/>
      <c r="F105" s="15"/>
      <c r="G105" s="15"/>
      <c r="H105" s="15"/>
      <c r="I105" s="15"/>
      <c r="J105" s="15"/>
      <c r="K105" s="15"/>
      <c r="L105" s="15"/>
      <c r="M105" s="15"/>
    </row>
    <row r="106" spans="1:13">
      <c r="A106" s="2"/>
      <c r="B106" s="2"/>
      <c r="C106" s="2"/>
      <c r="D106" s="2"/>
      <c r="E106" s="2"/>
      <c r="F106" s="2"/>
      <c r="G106" s="2"/>
      <c r="H106" s="2"/>
      <c r="I106" s="2"/>
      <c r="J106" s="2"/>
      <c r="K106" s="2"/>
      <c r="L106" s="2"/>
      <c r="M106" s="2"/>
    </row>
    <row r="107" spans="1:13" ht="15" customHeight="1">
      <c r="A107" s="178"/>
      <c r="B107" s="2"/>
      <c r="C107" s="2"/>
      <c r="D107" s="2"/>
      <c r="E107" s="2"/>
      <c r="F107" s="2"/>
      <c r="G107" s="2"/>
      <c r="H107" s="2"/>
      <c r="I107" s="2"/>
      <c r="J107" s="2"/>
      <c r="K107" s="2"/>
      <c r="L107" s="2"/>
      <c r="M107" s="2"/>
    </row>
    <row r="108" spans="1:13">
      <c r="A108" s="178"/>
      <c r="B108" s="2"/>
      <c r="C108" s="2"/>
      <c r="D108" s="2"/>
      <c r="E108" s="2"/>
      <c r="F108" s="2"/>
      <c r="G108" s="2"/>
      <c r="H108" s="2"/>
      <c r="I108" s="2"/>
      <c r="J108" s="2"/>
      <c r="K108" s="2"/>
      <c r="L108" s="2"/>
      <c r="M108" s="2"/>
    </row>
    <row r="109" spans="1:13">
      <c r="A109" s="178"/>
      <c r="B109" s="2"/>
      <c r="C109" s="2"/>
      <c r="D109" s="2"/>
      <c r="E109" s="2"/>
      <c r="F109" s="2"/>
      <c r="G109" s="2"/>
      <c r="H109" s="2"/>
      <c r="I109" s="2"/>
      <c r="J109" s="2"/>
      <c r="K109" s="2"/>
      <c r="L109" s="2"/>
      <c r="M109" s="2"/>
    </row>
    <row r="110" spans="1:13">
      <c r="A110" s="178"/>
      <c r="B110" s="2"/>
      <c r="C110" s="2"/>
      <c r="D110" s="2"/>
      <c r="E110" s="2"/>
      <c r="F110" s="2"/>
      <c r="G110" s="2"/>
      <c r="H110" s="2"/>
      <c r="I110" s="2"/>
      <c r="J110" s="2"/>
      <c r="K110" s="2"/>
      <c r="L110" s="2"/>
      <c r="M110" s="2"/>
    </row>
    <row r="111" spans="1:13">
      <c r="A111" s="178"/>
      <c r="B111" s="2"/>
      <c r="C111" s="2"/>
      <c r="D111" s="2"/>
      <c r="E111" s="2"/>
      <c r="F111" s="2"/>
      <c r="G111" s="2"/>
      <c r="H111" s="2"/>
      <c r="I111" s="2"/>
      <c r="J111" s="2"/>
      <c r="K111" s="2"/>
      <c r="L111" s="2"/>
      <c r="M111" s="2"/>
    </row>
    <row r="112" spans="1:13">
      <c r="A112" s="178"/>
      <c r="B112" s="2"/>
      <c r="C112" s="2"/>
      <c r="D112" s="2"/>
      <c r="E112" s="2"/>
      <c r="F112" s="2"/>
      <c r="G112" s="2"/>
      <c r="H112" s="2"/>
      <c r="I112" s="2"/>
      <c r="J112" s="2"/>
      <c r="K112" s="2"/>
      <c r="L112" s="2"/>
      <c r="M112" s="2"/>
    </row>
    <row r="113" spans="1:13">
      <c r="A113" s="178"/>
      <c r="B113" s="2"/>
      <c r="C113" s="2"/>
      <c r="D113" s="2"/>
      <c r="E113" s="2"/>
      <c r="F113" s="2"/>
      <c r="G113" s="2"/>
      <c r="H113" s="2"/>
      <c r="I113" s="2"/>
      <c r="J113" s="2"/>
      <c r="K113" s="2"/>
      <c r="L113" s="2"/>
      <c r="M113" s="2"/>
    </row>
    <row r="114" spans="1:13">
      <c r="A114" s="178"/>
      <c r="B114" s="2"/>
      <c r="C114" s="2"/>
      <c r="D114" s="2"/>
      <c r="E114" s="2"/>
      <c r="F114" s="2"/>
      <c r="G114" s="2"/>
      <c r="H114" s="2"/>
      <c r="I114" s="2"/>
      <c r="J114" s="2"/>
      <c r="K114" s="2"/>
      <c r="L114" s="2"/>
      <c r="M114" s="2"/>
    </row>
    <row r="115" spans="1:13">
      <c r="A115" s="178"/>
      <c r="B115" s="2"/>
      <c r="C115" s="2"/>
      <c r="D115" s="2"/>
      <c r="E115" s="2"/>
      <c r="F115" s="2"/>
      <c r="G115" s="2"/>
      <c r="H115" s="2"/>
      <c r="I115" s="2"/>
      <c r="J115" s="2"/>
      <c r="K115" s="2"/>
      <c r="L115" s="2"/>
      <c r="M115" s="2"/>
    </row>
    <row r="116" spans="1:13">
      <c r="A116" s="178"/>
      <c r="B116" s="2"/>
      <c r="C116" s="2"/>
      <c r="D116" s="2"/>
      <c r="E116" s="2"/>
      <c r="F116" s="2"/>
      <c r="G116" s="2"/>
      <c r="H116" s="2"/>
      <c r="I116" s="2"/>
      <c r="J116" s="2"/>
      <c r="K116" s="2"/>
      <c r="L116" s="2"/>
      <c r="M116" s="2"/>
    </row>
    <row r="117" spans="1:13">
      <c r="A117" s="178"/>
      <c r="B117" s="2"/>
      <c r="C117" s="2"/>
      <c r="D117" s="2"/>
      <c r="E117" s="2"/>
      <c r="F117" s="2"/>
      <c r="G117" s="2"/>
      <c r="H117" s="2"/>
      <c r="I117" s="2"/>
      <c r="J117" s="2"/>
      <c r="K117" s="2"/>
      <c r="L117" s="2"/>
      <c r="M117" s="2"/>
    </row>
    <row r="118" spans="1:13">
      <c r="A118" s="178"/>
      <c r="B118" s="2"/>
      <c r="C118" s="2"/>
      <c r="D118" s="2"/>
      <c r="E118" s="2"/>
      <c r="F118" s="2"/>
      <c r="G118" s="2"/>
      <c r="H118" s="2"/>
      <c r="I118" s="2"/>
      <c r="J118" s="2"/>
      <c r="K118" s="2"/>
      <c r="L118" s="2"/>
      <c r="M118" s="2"/>
    </row>
    <row r="119" spans="1:13">
      <c r="A119" s="178"/>
      <c r="B119" s="2"/>
      <c r="C119" s="2"/>
      <c r="D119" s="2"/>
      <c r="E119" s="2"/>
      <c r="F119" s="2"/>
      <c r="G119" s="2"/>
      <c r="H119" s="2"/>
      <c r="I119" s="2"/>
      <c r="J119" s="2"/>
      <c r="K119" s="2"/>
      <c r="L119" s="2"/>
      <c r="M119" s="2"/>
    </row>
    <row r="120" spans="1:13">
      <c r="A120" s="178"/>
      <c r="B120" s="2"/>
      <c r="C120" s="2"/>
      <c r="D120" s="2"/>
      <c r="E120" s="2"/>
      <c r="F120" s="2"/>
      <c r="G120" s="2"/>
      <c r="H120" s="2"/>
      <c r="I120" s="2"/>
      <c r="J120" s="2"/>
      <c r="K120" s="2"/>
      <c r="L120" s="2"/>
      <c r="M120" s="2"/>
    </row>
    <row r="121" spans="1:13">
      <c r="A121" s="178"/>
      <c r="B121" s="2"/>
      <c r="C121" s="2"/>
      <c r="D121" s="2"/>
      <c r="E121" s="2"/>
      <c r="F121" s="2"/>
      <c r="G121" s="2"/>
      <c r="H121" s="2"/>
      <c r="I121" s="2"/>
      <c r="J121" s="2"/>
      <c r="K121" s="2"/>
      <c r="L121" s="2"/>
      <c r="M121" s="2"/>
    </row>
    <row r="122" spans="1:13">
      <c r="A122" s="178"/>
      <c r="B122" s="2"/>
      <c r="C122" s="2"/>
      <c r="D122" s="2"/>
      <c r="E122" s="2"/>
      <c r="F122" s="2"/>
      <c r="G122" s="2"/>
      <c r="H122" s="2"/>
      <c r="I122" s="2"/>
      <c r="J122" s="2"/>
      <c r="K122" s="2"/>
      <c r="L122" s="2"/>
      <c r="M122" s="2"/>
    </row>
  </sheetData>
  <mergeCells count="2">
    <mergeCell ref="L8:M8"/>
    <mergeCell ref="B45:M45"/>
  </mergeCells>
  <hyperlinks>
    <hyperlink ref="A48" location="Contents!A1" display="Back to Table of Contents" xr:uid="{92920867-22EF-49CD-97B5-6C6D78184C0C}"/>
    <hyperlink ref="A2" r:id="rId1" xr:uid="{57276D14-4592-9A4D-A80B-CBDA000A04D9}"/>
  </hyperlinks>
  <pageMargins left="0.7" right="0.7" top="0.75" bottom="0.75" header="0.3" footer="0.3"/>
  <pageSetup orientation="portrait" horizontalDpi="4294967295" verticalDpi="4294967295"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B399E-6F06-4E66-83E2-5950445BEBDB}">
  <sheetPr codeName="Sheet3">
    <pageSetUpPr fitToPage="1"/>
  </sheetPr>
  <dimension ref="A1:R109"/>
  <sheetViews>
    <sheetView zoomScaleNormal="100" workbookViewId="0"/>
  </sheetViews>
  <sheetFormatPr baseColWidth="10" defaultColWidth="9.5" defaultRowHeight="14"/>
  <cols>
    <col min="1" max="1" width="80" style="73" customWidth="1"/>
    <col min="2" max="2" width="9.5" style="73" customWidth="1"/>
    <col min="3" max="3" width="3.5" style="73" customWidth="1"/>
    <col min="4" max="16" width="10.5" style="73" customWidth="1"/>
    <col min="17" max="16384" width="9.5" style="73"/>
  </cols>
  <sheetData>
    <row r="1" spans="1:18" ht="14.75" customHeight="1">
      <c r="A1" s="55" t="s">
        <v>307</v>
      </c>
    </row>
    <row r="2" spans="1:18" ht="14.75" customHeight="1">
      <c r="A2" s="233" t="s">
        <v>308</v>
      </c>
    </row>
    <row r="3" spans="1:18" ht="14.75" customHeight="1"/>
    <row r="4" spans="1:18" ht="14.75" customHeight="1"/>
    <row r="5" spans="1:18" ht="14.75" customHeight="1">
      <c r="A5" s="19" t="s">
        <v>33</v>
      </c>
    </row>
    <row r="6" spans="1:18" ht="14.75" customHeight="1">
      <c r="A6" s="179" t="s">
        <v>3</v>
      </c>
      <c r="B6" s="70"/>
      <c r="C6" s="70"/>
      <c r="D6" s="70"/>
      <c r="E6" s="70"/>
      <c r="F6" s="70"/>
      <c r="G6" s="70"/>
      <c r="H6" s="70"/>
      <c r="I6" s="70"/>
      <c r="J6" s="70"/>
      <c r="K6" s="70"/>
      <c r="L6" s="70"/>
      <c r="M6" s="70"/>
      <c r="N6" s="70"/>
      <c r="O6" s="70"/>
      <c r="P6" s="70"/>
      <c r="Q6" s="70"/>
    </row>
    <row r="7" spans="1:18" ht="14.75" customHeight="1">
      <c r="A7" s="1"/>
      <c r="B7" s="1"/>
      <c r="C7" s="1"/>
      <c r="D7" s="1"/>
      <c r="E7" s="1"/>
      <c r="F7" s="1"/>
      <c r="G7" s="1"/>
      <c r="H7" s="1"/>
      <c r="I7" s="1"/>
      <c r="J7" s="1"/>
      <c r="K7" s="1"/>
      <c r="L7" s="1"/>
      <c r="M7" s="1"/>
      <c r="N7" s="1"/>
      <c r="O7" s="1"/>
      <c r="P7" s="1"/>
    </row>
    <row r="8" spans="1:18" ht="14.75" customHeight="1">
      <c r="A8" s="1"/>
      <c r="B8" s="213" t="s">
        <v>34</v>
      </c>
      <c r="C8" s="1"/>
      <c r="D8" s="244" t="s">
        <v>35</v>
      </c>
      <c r="E8" s="244"/>
      <c r="F8" s="244"/>
      <c r="G8" s="244"/>
      <c r="H8" s="244"/>
      <c r="I8" s="244"/>
      <c r="J8" s="244"/>
      <c r="K8" s="244"/>
      <c r="L8" s="244"/>
      <c r="M8" s="244"/>
      <c r="N8" s="244"/>
      <c r="O8" s="244"/>
      <c r="P8" s="244"/>
      <c r="Q8" s="244"/>
    </row>
    <row r="9" spans="1:18" ht="14.75" customHeight="1">
      <c r="A9" s="192" t="s">
        <v>36</v>
      </c>
      <c r="B9" s="179">
        <v>2022</v>
      </c>
      <c r="C9" s="181"/>
      <c r="D9" s="179">
        <v>2023</v>
      </c>
      <c r="E9" s="179">
        <v>2024</v>
      </c>
      <c r="F9" s="179">
        <v>2025</v>
      </c>
      <c r="G9" s="179">
        <v>2026</v>
      </c>
      <c r="H9" s="179">
        <v>2027</v>
      </c>
      <c r="I9" s="179">
        <v>2028</v>
      </c>
      <c r="J9" s="179">
        <v>2029</v>
      </c>
      <c r="K9" s="179">
        <v>2030</v>
      </c>
      <c r="L9" s="179">
        <v>2031</v>
      </c>
      <c r="M9" s="179">
        <v>2032</v>
      </c>
      <c r="N9" s="179">
        <v>2033</v>
      </c>
      <c r="O9" s="179">
        <v>2034</v>
      </c>
      <c r="P9" s="179">
        <v>2035</v>
      </c>
      <c r="Q9" s="179">
        <v>2036</v>
      </c>
    </row>
    <row r="10" spans="1:18" ht="14.75" customHeight="1">
      <c r="A10" s="177"/>
      <c r="B10" s="177"/>
      <c r="C10" s="177"/>
      <c r="D10" s="177"/>
      <c r="E10" s="177"/>
      <c r="F10" s="177"/>
      <c r="G10" s="177"/>
      <c r="H10" s="177"/>
      <c r="I10" s="177"/>
      <c r="J10" s="177"/>
      <c r="K10" s="177"/>
      <c r="L10" s="177"/>
      <c r="M10" s="177"/>
      <c r="N10" s="1"/>
      <c r="O10" s="177"/>
      <c r="P10" s="177"/>
    </row>
    <row r="11" spans="1:18" ht="14.75" customHeight="1">
      <c r="A11" s="19" t="s">
        <v>37</v>
      </c>
      <c r="B11" s="177"/>
      <c r="C11" s="177"/>
      <c r="D11" s="177"/>
      <c r="E11" s="177"/>
      <c r="F11" s="177"/>
      <c r="G11" s="177"/>
      <c r="H11" s="177"/>
      <c r="I11" s="177"/>
      <c r="J11" s="177"/>
      <c r="K11" s="177"/>
      <c r="L11" s="177"/>
      <c r="M11" s="177"/>
      <c r="N11" s="1"/>
      <c r="O11" s="177"/>
      <c r="P11" s="177"/>
    </row>
    <row r="12" spans="1:18" ht="14.75" customHeight="1">
      <c r="A12" s="193" t="s">
        <v>38</v>
      </c>
      <c r="B12" s="2">
        <v>9739</v>
      </c>
      <c r="C12" s="2"/>
      <c r="D12" s="2">
        <v>10260.299999999999</v>
      </c>
      <c r="E12" s="2">
        <v>10832.7</v>
      </c>
      <c r="F12" s="2">
        <v>11367.3</v>
      </c>
      <c r="G12" s="2">
        <v>11843.5</v>
      </c>
      <c r="H12" s="2">
        <v>12350.9</v>
      </c>
      <c r="I12" s="2">
        <v>12861.9</v>
      </c>
      <c r="J12" s="2">
        <v>13377.8</v>
      </c>
      <c r="K12" s="2">
        <v>13905.4</v>
      </c>
      <c r="L12" s="2">
        <v>14443</v>
      </c>
      <c r="M12" s="2">
        <v>14985.2</v>
      </c>
      <c r="N12" s="2">
        <v>15538.3</v>
      </c>
      <c r="O12" s="2">
        <v>16113</v>
      </c>
      <c r="P12" s="2">
        <v>16708.7</v>
      </c>
      <c r="Q12" s="2">
        <v>17325.900000000001</v>
      </c>
      <c r="R12" s="215"/>
    </row>
    <row r="13" spans="1:18" ht="14.75" customHeight="1">
      <c r="A13" s="193" t="s">
        <v>39</v>
      </c>
      <c r="B13" s="2">
        <v>232.7</v>
      </c>
      <c r="C13" s="2"/>
      <c r="D13" s="2">
        <v>286.8</v>
      </c>
      <c r="E13" s="2">
        <v>309.7</v>
      </c>
      <c r="F13" s="2">
        <v>323.89999999999998</v>
      </c>
      <c r="G13" s="2">
        <v>356.5</v>
      </c>
      <c r="H13" s="2">
        <v>381.7</v>
      </c>
      <c r="I13" s="2">
        <v>415.7</v>
      </c>
      <c r="J13" s="2">
        <v>448.3</v>
      </c>
      <c r="K13" s="2">
        <v>462.5</v>
      </c>
      <c r="L13" s="2">
        <v>476.4</v>
      </c>
      <c r="M13" s="2">
        <v>492.2</v>
      </c>
      <c r="N13" s="2">
        <v>504.5</v>
      </c>
      <c r="O13" s="2">
        <v>517.79999999999995</v>
      </c>
      <c r="P13" s="2">
        <v>527.4</v>
      </c>
      <c r="Q13" s="2">
        <v>535.1</v>
      </c>
      <c r="R13" s="215"/>
    </row>
    <row r="14" spans="1:18" ht="14.75" customHeight="1">
      <c r="A14" s="193" t="s">
        <v>40</v>
      </c>
      <c r="B14" s="2">
        <v>313.2</v>
      </c>
      <c r="C14" s="2"/>
      <c r="D14" s="2">
        <v>342.9</v>
      </c>
      <c r="E14" s="2">
        <v>354.3</v>
      </c>
      <c r="F14" s="2">
        <v>364.3</v>
      </c>
      <c r="G14" s="2">
        <v>387.7</v>
      </c>
      <c r="H14" s="2">
        <v>388.1</v>
      </c>
      <c r="I14" s="2">
        <v>387.9</v>
      </c>
      <c r="J14" s="2">
        <v>387.2</v>
      </c>
      <c r="K14" s="2">
        <v>405.2</v>
      </c>
      <c r="L14" s="2">
        <v>428.8</v>
      </c>
      <c r="M14" s="2">
        <v>455.3</v>
      </c>
      <c r="N14" s="2">
        <v>483.2</v>
      </c>
      <c r="O14" s="2">
        <v>511.3</v>
      </c>
      <c r="P14" s="2">
        <v>539.79999999999995</v>
      </c>
      <c r="Q14" s="2">
        <v>567.20000000000005</v>
      </c>
      <c r="R14" s="215"/>
    </row>
    <row r="15" spans="1:18" ht="14.75" customHeight="1">
      <c r="A15" s="193" t="s">
        <v>41</v>
      </c>
      <c r="B15" s="2">
        <v>1286</v>
      </c>
      <c r="C15" s="2"/>
      <c r="D15" s="2">
        <v>981.4</v>
      </c>
      <c r="E15" s="2">
        <v>1290.9000000000001</v>
      </c>
      <c r="F15" s="2">
        <v>1639.5</v>
      </c>
      <c r="G15" s="2">
        <v>1703.5</v>
      </c>
      <c r="H15" s="2">
        <v>1644.1999999999998</v>
      </c>
      <c r="I15" s="2">
        <v>1558.8</v>
      </c>
      <c r="J15" s="2">
        <v>1532.8</v>
      </c>
      <c r="K15" s="2">
        <v>1542.2</v>
      </c>
      <c r="L15" s="2">
        <v>1572.8999999999999</v>
      </c>
      <c r="M15" s="2">
        <v>1615.5</v>
      </c>
      <c r="N15" s="2">
        <v>1666.3</v>
      </c>
      <c r="O15" s="2">
        <v>1724.1</v>
      </c>
      <c r="P15" s="2">
        <v>1786.6</v>
      </c>
      <c r="Q15" s="2">
        <v>1851.5</v>
      </c>
      <c r="R15" s="215"/>
    </row>
    <row r="16" spans="1:18" ht="14.75" customHeight="1">
      <c r="A16" s="193" t="s">
        <v>42</v>
      </c>
      <c r="B16" s="2">
        <v>1557.2</v>
      </c>
      <c r="C16" s="2"/>
      <c r="D16" s="2">
        <v>1701.1000000000001</v>
      </c>
      <c r="E16" s="2">
        <v>1915.9999999999998</v>
      </c>
      <c r="F16" s="2">
        <v>1805.6</v>
      </c>
      <c r="G16" s="2">
        <v>1919.8999999999999</v>
      </c>
      <c r="H16" s="2">
        <v>2025.2000000000003</v>
      </c>
      <c r="I16" s="2">
        <v>2068.6999999999998</v>
      </c>
      <c r="J16" s="2">
        <v>2207.1</v>
      </c>
      <c r="K16" s="2">
        <v>2307.9</v>
      </c>
      <c r="L16" s="2">
        <v>2408.8000000000006</v>
      </c>
      <c r="M16" s="2">
        <v>2509.7999999999997</v>
      </c>
      <c r="N16" s="2">
        <v>2610.2000000000003</v>
      </c>
      <c r="O16" s="2">
        <v>2714.9999999999995</v>
      </c>
      <c r="P16" s="2">
        <v>2825.2000000000003</v>
      </c>
      <c r="Q16" s="2">
        <v>2935</v>
      </c>
      <c r="R16" s="215"/>
    </row>
    <row r="17" spans="1:18" ht="14.75" customHeight="1">
      <c r="A17" s="193" t="s">
        <v>43</v>
      </c>
      <c r="B17" s="2">
        <v>1350.1</v>
      </c>
      <c r="C17" s="2"/>
      <c r="D17" s="2">
        <v>1381.2</v>
      </c>
      <c r="E17" s="2">
        <v>1522.5</v>
      </c>
      <c r="F17" s="2">
        <v>1818.9</v>
      </c>
      <c r="G17" s="2">
        <v>1981.4</v>
      </c>
      <c r="H17" s="2">
        <v>2053.1999999999998</v>
      </c>
      <c r="I17" s="2">
        <v>2076.6999999999998</v>
      </c>
      <c r="J17" s="2">
        <v>2096.6</v>
      </c>
      <c r="K17" s="2">
        <v>2121</v>
      </c>
      <c r="L17" s="2">
        <v>2164.4</v>
      </c>
      <c r="M17" s="2">
        <v>2221.5</v>
      </c>
      <c r="N17" s="2">
        <v>2287.1999999999998</v>
      </c>
      <c r="O17" s="2">
        <v>2364.6999999999998</v>
      </c>
      <c r="P17" s="2">
        <v>2452.5</v>
      </c>
      <c r="Q17" s="2">
        <v>2543.6000000000004</v>
      </c>
      <c r="R17" s="215"/>
    </row>
    <row r="18" spans="1:18" ht="14.75" customHeight="1">
      <c r="A18" s="193" t="s">
        <v>44</v>
      </c>
      <c r="B18" s="2">
        <v>459.3</v>
      </c>
      <c r="C18" s="2"/>
      <c r="D18" s="2">
        <v>514.9</v>
      </c>
      <c r="E18" s="2">
        <v>577.20000000000005</v>
      </c>
      <c r="F18" s="2">
        <v>657.8</v>
      </c>
      <c r="G18" s="2">
        <v>713</v>
      </c>
      <c r="H18" s="2">
        <v>761.7</v>
      </c>
      <c r="I18" s="2">
        <v>808.1</v>
      </c>
      <c r="J18" s="2">
        <v>858.5</v>
      </c>
      <c r="K18" s="2">
        <v>907.7</v>
      </c>
      <c r="L18" s="2">
        <v>952.5</v>
      </c>
      <c r="M18" s="2">
        <v>1005</v>
      </c>
      <c r="N18" s="2">
        <v>1062.2</v>
      </c>
      <c r="O18" s="2">
        <v>1121.5</v>
      </c>
      <c r="P18" s="2">
        <v>1184.5999999999999</v>
      </c>
      <c r="Q18" s="2">
        <v>1247.7</v>
      </c>
      <c r="R18" s="215"/>
    </row>
    <row r="19" spans="1:18" ht="14.75" customHeight="1">
      <c r="A19" s="193" t="s">
        <v>45</v>
      </c>
      <c r="B19" s="2">
        <v>24.999999999999989</v>
      </c>
      <c r="C19" s="2"/>
      <c r="D19" s="2">
        <v>28.6</v>
      </c>
      <c r="E19" s="2">
        <v>41.1</v>
      </c>
      <c r="F19" s="2">
        <v>26.700000000000003</v>
      </c>
      <c r="G19" s="2">
        <v>79.3</v>
      </c>
      <c r="H19" s="2">
        <v>84.3</v>
      </c>
      <c r="I19" s="2">
        <v>87.299999999999983</v>
      </c>
      <c r="J19" s="2">
        <v>93.9</v>
      </c>
      <c r="K19" s="2">
        <v>96.8</v>
      </c>
      <c r="L19" s="2">
        <v>42.199999999999996</v>
      </c>
      <c r="M19" s="2">
        <v>43.300000000000004</v>
      </c>
      <c r="N19" s="2">
        <v>44.3</v>
      </c>
      <c r="O19" s="2">
        <v>45.399999999999991</v>
      </c>
      <c r="P19" s="2">
        <v>46.5</v>
      </c>
      <c r="Q19" s="2">
        <v>44.800000000000004</v>
      </c>
      <c r="R19" s="215"/>
    </row>
    <row r="20" spans="1:18" ht="14.75" customHeight="1">
      <c r="A20" s="193" t="s">
        <v>46</v>
      </c>
      <c r="B20" s="2">
        <v>14962.5</v>
      </c>
      <c r="C20" s="2"/>
      <c r="D20" s="2">
        <v>15497.2</v>
      </c>
      <c r="E20" s="2">
        <v>16844.400000000001</v>
      </c>
      <c r="F20" s="2">
        <v>18004</v>
      </c>
      <c r="G20" s="2">
        <v>18984.8</v>
      </c>
      <c r="H20" s="2">
        <v>19689.3</v>
      </c>
      <c r="I20" s="2">
        <v>20265.099999999999</v>
      </c>
      <c r="J20" s="2">
        <v>21002.2</v>
      </c>
      <c r="K20" s="2">
        <v>21748.7</v>
      </c>
      <c r="L20" s="2">
        <v>22489</v>
      </c>
      <c r="M20" s="2">
        <v>23327.8</v>
      </c>
      <c r="N20" s="2">
        <v>24196.2</v>
      </c>
      <c r="O20" s="2">
        <v>25112.799999999999</v>
      </c>
      <c r="P20" s="2">
        <v>26071.3</v>
      </c>
      <c r="Q20" s="2">
        <v>27050.799999999999</v>
      </c>
      <c r="R20" s="215"/>
    </row>
    <row r="21" spans="1:18" ht="14.75" customHeight="1">
      <c r="A21" s="193" t="s">
        <v>47</v>
      </c>
      <c r="B21" s="2">
        <v>140.6</v>
      </c>
      <c r="C21" s="2"/>
      <c r="D21" s="2">
        <v>149.69999999999999</v>
      </c>
      <c r="E21" s="2">
        <v>158.4</v>
      </c>
      <c r="F21" s="2">
        <v>166.1</v>
      </c>
      <c r="G21" s="2">
        <v>174.5</v>
      </c>
      <c r="H21" s="2">
        <v>182.5</v>
      </c>
      <c r="I21" s="2">
        <v>190.4</v>
      </c>
      <c r="J21" s="2">
        <v>199.3</v>
      </c>
      <c r="K21" s="2">
        <v>207.8</v>
      </c>
      <c r="L21" s="2">
        <v>216.5</v>
      </c>
      <c r="M21" s="2">
        <v>225.9</v>
      </c>
      <c r="N21" s="2">
        <v>234.5</v>
      </c>
      <c r="O21" s="2">
        <v>243.5</v>
      </c>
      <c r="P21" s="2">
        <v>253.5</v>
      </c>
      <c r="Q21" s="2">
        <v>263.2</v>
      </c>
      <c r="R21" s="215"/>
    </row>
    <row r="22" spans="1:18" ht="14.75" customHeight="1">
      <c r="A22" s="193" t="s">
        <v>48</v>
      </c>
      <c r="B22" s="2">
        <v>14821.8</v>
      </c>
      <c r="C22" s="2"/>
      <c r="D22" s="2">
        <v>15347.4</v>
      </c>
      <c r="E22" s="2">
        <v>16685.900000000001</v>
      </c>
      <c r="F22" s="2">
        <v>17837.900000000001</v>
      </c>
      <c r="G22" s="2">
        <v>18810.400000000001</v>
      </c>
      <c r="H22" s="2">
        <v>19506.7</v>
      </c>
      <c r="I22" s="2">
        <v>20074.8</v>
      </c>
      <c r="J22" s="2">
        <v>20802.900000000001</v>
      </c>
      <c r="K22" s="2">
        <v>21540.9</v>
      </c>
      <c r="L22" s="2">
        <v>22272.400000000001</v>
      </c>
      <c r="M22" s="2">
        <v>23101.9</v>
      </c>
      <c r="N22" s="2">
        <v>23961.7</v>
      </c>
      <c r="O22" s="2">
        <v>24869.3</v>
      </c>
      <c r="P22" s="2">
        <v>25817.9</v>
      </c>
      <c r="Q22" s="2">
        <v>26787.8</v>
      </c>
      <c r="R22" s="215"/>
    </row>
    <row r="23" spans="1:18" ht="14.75" customHeight="1">
      <c r="A23" s="126"/>
      <c r="B23" s="2"/>
      <c r="C23" s="2"/>
      <c r="D23" s="2"/>
      <c r="E23" s="2"/>
      <c r="F23" s="2"/>
      <c r="G23" s="2"/>
      <c r="H23" s="2"/>
      <c r="I23" s="2"/>
      <c r="J23" s="2"/>
      <c r="K23" s="2"/>
      <c r="L23" s="2"/>
      <c r="M23" s="2"/>
      <c r="N23" s="2"/>
      <c r="O23" s="2"/>
      <c r="P23" s="2"/>
    </row>
    <row r="24" spans="1:18" ht="14.75" customHeight="1">
      <c r="A24" s="126"/>
      <c r="B24" s="2"/>
      <c r="C24" s="2"/>
      <c r="D24" s="2"/>
      <c r="E24" s="2"/>
      <c r="F24" s="2"/>
      <c r="G24" s="2"/>
      <c r="H24" s="2"/>
      <c r="I24" s="2"/>
      <c r="J24" s="2"/>
      <c r="K24" s="2"/>
      <c r="L24" s="2"/>
      <c r="M24" s="2"/>
      <c r="N24" s="2"/>
      <c r="O24" s="2"/>
      <c r="P24" s="2"/>
    </row>
    <row r="25" spans="1:18" ht="14.75" customHeight="1">
      <c r="A25" s="19" t="s">
        <v>49</v>
      </c>
      <c r="B25" s="2"/>
      <c r="C25" s="2"/>
      <c r="D25" s="2"/>
      <c r="E25" s="2"/>
      <c r="F25" s="2"/>
      <c r="G25" s="2"/>
      <c r="H25" s="2"/>
      <c r="I25" s="2"/>
      <c r="J25" s="2"/>
      <c r="K25" s="2"/>
      <c r="L25" s="2"/>
      <c r="M25" s="2"/>
      <c r="N25" s="2"/>
      <c r="O25" s="2"/>
      <c r="P25" s="2"/>
      <c r="R25" s="215"/>
    </row>
    <row r="26" spans="1:18" ht="14.75" customHeight="1">
      <c r="A26" s="193" t="s">
        <v>50</v>
      </c>
      <c r="B26" s="2">
        <v>0</v>
      </c>
      <c r="C26" s="2"/>
      <c r="D26" s="2">
        <v>0</v>
      </c>
      <c r="E26" s="2">
        <v>0</v>
      </c>
      <c r="F26" s="2">
        <v>0</v>
      </c>
      <c r="G26" s="2">
        <v>0</v>
      </c>
      <c r="H26" s="2">
        <v>0</v>
      </c>
      <c r="I26" s="2">
        <v>0</v>
      </c>
      <c r="J26" s="2">
        <v>0</v>
      </c>
      <c r="K26" s="2">
        <v>0</v>
      </c>
      <c r="L26" s="2">
        <v>0</v>
      </c>
      <c r="M26" s="2">
        <v>0</v>
      </c>
      <c r="N26" s="2">
        <v>0</v>
      </c>
      <c r="O26" s="2">
        <v>0</v>
      </c>
      <c r="P26" s="2">
        <v>0</v>
      </c>
      <c r="Q26" s="177">
        <v>0</v>
      </c>
      <c r="R26" s="215"/>
    </row>
    <row r="27" spans="1:18" ht="14.75" customHeight="1">
      <c r="A27" s="193" t="s">
        <v>51</v>
      </c>
      <c r="B27" s="2">
        <v>2671.4</v>
      </c>
      <c r="C27" s="2"/>
      <c r="D27" s="2">
        <v>2914</v>
      </c>
      <c r="E27" s="2">
        <v>3107.5</v>
      </c>
      <c r="F27" s="2">
        <v>3212.8</v>
      </c>
      <c r="G27" s="2">
        <v>3293.4</v>
      </c>
      <c r="H27" s="2">
        <v>3355.8</v>
      </c>
      <c r="I27" s="2">
        <v>3411.1</v>
      </c>
      <c r="J27" s="2">
        <v>3456.5</v>
      </c>
      <c r="K27" s="2">
        <v>3725.9</v>
      </c>
      <c r="L27" s="2">
        <v>3795.4</v>
      </c>
      <c r="M27" s="2">
        <v>3859.4</v>
      </c>
      <c r="N27" s="2">
        <v>3924.1</v>
      </c>
      <c r="O27" s="2">
        <v>4002.1</v>
      </c>
      <c r="P27" s="2">
        <v>4075.2</v>
      </c>
      <c r="Q27" s="177">
        <v>4162.3</v>
      </c>
      <c r="R27" s="215"/>
    </row>
    <row r="28" spans="1:18" ht="14.75" customHeight="1">
      <c r="A28" s="193" t="s">
        <v>52</v>
      </c>
      <c r="B28" s="2">
        <v>662.8</v>
      </c>
      <c r="C28" s="2"/>
      <c r="D28" s="2">
        <v>725.3</v>
      </c>
      <c r="E28" s="2">
        <v>776.6</v>
      </c>
      <c r="F28" s="2">
        <v>1091.9000000000001</v>
      </c>
      <c r="G28" s="2">
        <v>1144.9000000000001</v>
      </c>
      <c r="H28" s="2">
        <v>1255.3</v>
      </c>
      <c r="I28" s="2">
        <v>1381.6</v>
      </c>
      <c r="J28" s="2">
        <v>1504.3</v>
      </c>
      <c r="K28" s="2">
        <v>1240.3</v>
      </c>
      <c r="L28" s="2">
        <v>1341.2</v>
      </c>
      <c r="M28" s="2">
        <v>1438.8</v>
      </c>
      <c r="N28" s="2">
        <v>1537.6</v>
      </c>
      <c r="O28" s="2">
        <v>1628.2</v>
      </c>
      <c r="P28" s="2">
        <v>1712.5</v>
      </c>
      <c r="Q28" s="2">
        <v>1796.7</v>
      </c>
      <c r="R28" s="215"/>
    </row>
    <row r="29" spans="1:18" ht="14.75" customHeight="1">
      <c r="A29" s="193" t="s">
        <v>53</v>
      </c>
      <c r="B29" s="2">
        <v>215.7</v>
      </c>
      <c r="C29" s="2"/>
      <c r="D29" s="2">
        <v>235.9</v>
      </c>
      <c r="E29" s="2">
        <v>267.7</v>
      </c>
      <c r="F29" s="2">
        <v>247.7</v>
      </c>
      <c r="G29" s="2">
        <v>264.39999999999998</v>
      </c>
      <c r="H29" s="2">
        <v>279</v>
      </c>
      <c r="I29" s="2">
        <v>283.60000000000002</v>
      </c>
      <c r="J29" s="2">
        <v>303.10000000000002</v>
      </c>
      <c r="K29" s="2">
        <v>317.60000000000002</v>
      </c>
      <c r="L29" s="2">
        <v>331.1</v>
      </c>
      <c r="M29" s="2">
        <v>345.1</v>
      </c>
      <c r="N29" s="2">
        <v>358.9</v>
      </c>
      <c r="O29" s="2">
        <v>373.3</v>
      </c>
      <c r="P29" s="2">
        <v>388.5</v>
      </c>
      <c r="Q29" s="177">
        <v>403.6</v>
      </c>
      <c r="R29" s="215"/>
    </row>
    <row r="30" spans="1:18" ht="14.75" customHeight="1">
      <c r="A30" s="193" t="s">
        <v>54</v>
      </c>
      <c r="B30" s="2">
        <v>0</v>
      </c>
      <c r="C30" s="2"/>
      <c r="D30" s="2">
        <v>0</v>
      </c>
      <c r="E30" s="2">
        <v>0</v>
      </c>
      <c r="F30" s="2">
        <v>416.3</v>
      </c>
      <c r="G30" s="2">
        <v>432.4</v>
      </c>
      <c r="H30" s="2">
        <v>449.2</v>
      </c>
      <c r="I30" s="2">
        <v>463.9</v>
      </c>
      <c r="J30" s="2">
        <v>0</v>
      </c>
      <c r="K30" s="2">
        <v>0</v>
      </c>
      <c r="L30" s="2">
        <v>0</v>
      </c>
      <c r="M30" s="2">
        <v>0</v>
      </c>
      <c r="N30" s="2">
        <v>0</v>
      </c>
      <c r="O30" s="2">
        <v>0</v>
      </c>
      <c r="P30" s="2">
        <v>0</v>
      </c>
      <c r="Q30" s="177">
        <v>0</v>
      </c>
      <c r="R30" s="215"/>
    </row>
    <row r="31" spans="1:18" ht="14.75" customHeight="1">
      <c r="A31" s="193" t="s">
        <v>55</v>
      </c>
      <c r="B31" s="2">
        <v>3549.8999999999996</v>
      </c>
      <c r="C31" s="2"/>
      <c r="D31" s="2">
        <v>3875.2000000000003</v>
      </c>
      <c r="E31" s="2">
        <v>4151.8</v>
      </c>
      <c r="F31" s="2">
        <v>4968.7000000000007</v>
      </c>
      <c r="G31" s="2">
        <v>5135.0999999999995</v>
      </c>
      <c r="H31" s="2">
        <v>5339.3</v>
      </c>
      <c r="I31" s="2">
        <v>5540.2</v>
      </c>
      <c r="J31" s="2">
        <v>5263.9000000000005</v>
      </c>
      <c r="K31" s="2">
        <v>5283.8</v>
      </c>
      <c r="L31" s="2">
        <v>5467.7000000000007</v>
      </c>
      <c r="M31" s="2">
        <v>5643.3</v>
      </c>
      <c r="N31" s="2">
        <v>5820.5999999999995</v>
      </c>
      <c r="O31" s="2">
        <v>6003.6</v>
      </c>
      <c r="P31" s="2">
        <v>6176.2</v>
      </c>
      <c r="Q31" s="177">
        <v>6362.6</v>
      </c>
      <c r="R31" s="215"/>
    </row>
    <row r="32" spans="1:18" ht="14.75" customHeight="1">
      <c r="A32" s="193" t="s">
        <v>56</v>
      </c>
      <c r="B32" s="2">
        <v>11709.322</v>
      </c>
      <c r="C32" s="2"/>
      <c r="D32" s="2">
        <v>11960.078</v>
      </c>
      <c r="E32" s="2">
        <v>13055.179</v>
      </c>
      <c r="F32" s="2">
        <v>13490.71</v>
      </c>
      <c r="G32" s="2">
        <v>14245.168</v>
      </c>
      <c r="H32" s="2">
        <v>14760.196</v>
      </c>
      <c r="I32" s="2">
        <v>15155.984</v>
      </c>
      <c r="J32" s="2">
        <v>16096.007</v>
      </c>
      <c r="K32" s="2">
        <v>16826.735000000001</v>
      </c>
      <c r="L32" s="2">
        <v>17397.166000000001</v>
      </c>
      <c r="M32" s="2">
        <v>18069.208999999999</v>
      </c>
      <c r="N32" s="2">
        <v>18773.657999999999</v>
      </c>
      <c r="O32" s="2">
        <v>19519.435000000001</v>
      </c>
      <c r="P32" s="2">
        <v>20313.807000000001</v>
      </c>
      <c r="Q32" s="2">
        <v>21121.514999999999</v>
      </c>
      <c r="R32" s="215"/>
    </row>
    <row r="33" spans="1:18" ht="14.75" customHeight="1">
      <c r="A33" s="193"/>
      <c r="B33" s="2"/>
      <c r="C33" s="2"/>
      <c r="D33" s="2"/>
      <c r="E33" s="2"/>
      <c r="F33" s="2"/>
      <c r="G33" s="2"/>
      <c r="H33" s="2"/>
      <c r="I33" s="2"/>
      <c r="J33" s="2"/>
      <c r="K33" s="2"/>
      <c r="L33" s="2"/>
      <c r="M33" s="2"/>
      <c r="N33" s="2"/>
      <c r="O33" s="2"/>
      <c r="P33" s="2"/>
      <c r="Q33" s="215"/>
      <c r="R33" s="215"/>
    </row>
    <row r="34" spans="1:18" ht="14.75" customHeight="1">
      <c r="A34" s="193" t="s">
        <v>57</v>
      </c>
      <c r="B34" s="2">
        <v>10313.9</v>
      </c>
      <c r="C34" s="2"/>
      <c r="D34" s="2">
        <v>10825.3</v>
      </c>
      <c r="E34" s="2">
        <v>11632.8</v>
      </c>
      <c r="F34" s="2">
        <v>11727.9</v>
      </c>
      <c r="G34" s="2">
        <v>12400.4</v>
      </c>
      <c r="H34" s="2">
        <v>12977.1</v>
      </c>
      <c r="I34" s="2">
        <v>13458.1</v>
      </c>
      <c r="J34" s="2">
        <v>14427.1</v>
      </c>
      <c r="K34" s="2">
        <v>15136.1</v>
      </c>
      <c r="L34" s="2">
        <v>15663</v>
      </c>
      <c r="M34" s="2">
        <v>16276.3</v>
      </c>
      <c r="N34" s="2">
        <v>16913.099999999999</v>
      </c>
      <c r="O34" s="2">
        <v>17584.900000000001</v>
      </c>
      <c r="P34" s="2">
        <v>18301.3</v>
      </c>
      <c r="Q34" s="2">
        <v>19028.900000000001</v>
      </c>
      <c r="R34" s="215"/>
    </row>
    <row r="35" spans="1:18" ht="14.75" customHeight="1">
      <c r="A35" s="127" t="s">
        <v>58</v>
      </c>
      <c r="B35" s="2">
        <v>1719.6</v>
      </c>
      <c r="C35" s="2"/>
      <c r="D35" s="2">
        <v>1868</v>
      </c>
      <c r="E35" s="2">
        <v>1992.9</v>
      </c>
      <c r="F35" s="2">
        <v>2007.5</v>
      </c>
      <c r="G35" s="2">
        <v>2107.8000000000002</v>
      </c>
      <c r="H35" s="2">
        <v>2180</v>
      </c>
      <c r="I35" s="2">
        <v>2249.1999999999998</v>
      </c>
      <c r="J35" s="2">
        <v>2379.8000000000002</v>
      </c>
      <c r="K35" s="2">
        <v>2455</v>
      </c>
      <c r="L35" s="2">
        <v>2528.9</v>
      </c>
      <c r="M35" s="2">
        <v>2604.9</v>
      </c>
      <c r="N35" s="2">
        <v>2679.4</v>
      </c>
      <c r="O35" s="2">
        <v>2753.7</v>
      </c>
      <c r="P35" s="2">
        <v>2834.9</v>
      </c>
      <c r="Q35" s="2">
        <v>2912.7</v>
      </c>
      <c r="R35" s="215"/>
    </row>
    <row r="36" spans="1:18" ht="14.75" customHeight="1">
      <c r="A36" s="127" t="s">
        <v>59</v>
      </c>
      <c r="B36" s="2">
        <v>3486.2</v>
      </c>
      <c r="C36" s="2"/>
      <c r="D36" s="2">
        <v>3725.1</v>
      </c>
      <c r="E36" s="2">
        <v>3950</v>
      </c>
      <c r="F36" s="2">
        <v>3967.9</v>
      </c>
      <c r="G36" s="2">
        <v>4141.6000000000004</v>
      </c>
      <c r="H36" s="2">
        <v>4295.7</v>
      </c>
      <c r="I36" s="2">
        <v>4434.2</v>
      </c>
      <c r="J36" s="2">
        <v>4776.3999999999996</v>
      </c>
      <c r="K36" s="2">
        <v>4951.3999999999996</v>
      </c>
      <c r="L36" s="2">
        <v>5111.8999999999996</v>
      </c>
      <c r="M36" s="2">
        <v>5285.6</v>
      </c>
      <c r="N36" s="2">
        <v>5464.7</v>
      </c>
      <c r="O36" s="2">
        <v>5649.2</v>
      </c>
      <c r="P36" s="2">
        <v>5842.8</v>
      </c>
      <c r="Q36" s="2">
        <v>6043.5</v>
      </c>
      <c r="R36" s="215"/>
    </row>
    <row r="37" spans="1:18" ht="14.75" customHeight="1">
      <c r="A37" s="127" t="s">
        <v>60</v>
      </c>
      <c r="B37" s="2">
        <v>2064.3000000000002</v>
      </c>
      <c r="C37" s="2"/>
      <c r="D37" s="2">
        <v>2128.8000000000002</v>
      </c>
      <c r="E37" s="2">
        <v>2247.3000000000002</v>
      </c>
      <c r="F37" s="2">
        <v>2277.3000000000002</v>
      </c>
      <c r="G37" s="2">
        <v>2337.1</v>
      </c>
      <c r="H37" s="2">
        <v>2438.6999999999998</v>
      </c>
      <c r="I37" s="2">
        <v>2525</v>
      </c>
      <c r="J37" s="2">
        <v>2741.9</v>
      </c>
      <c r="K37" s="2">
        <v>2893.9</v>
      </c>
      <c r="L37" s="2">
        <v>2998.1</v>
      </c>
      <c r="M37" s="2">
        <v>3122.9</v>
      </c>
      <c r="N37" s="2">
        <v>3255.6</v>
      </c>
      <c r="O37" s="2">
        <v>3395.2</v>
      </c>
      <c r="P37" s="2">
        <v>3544.6</v>
      </c>
      <c r="Q37" s="2">
        <v>3698.3</v>
      </c>
      <c r="R37" s="215"/>
    </row>
    <row r="38" spans="1:18" ht="14.75" customHeight="1">
      <c r="A38" s="127" t="s">
        <v>61</v>
      </c>
      <c r="B38" s="2">
        <v>1124.3</v>
      </c>
      <c r="C38" s="2"/>
      <c r="D38" s="2">
        <v>1136.2</v>
      </c>
      <c r="E38" s="2">
        <v>1220.5999999999999</v>
      </c>
      <c r="F38" s="2">
        <v>1254.5999999999999</v>
      </c>
      <c r="G38" s="2">
        <v>1356.9</v>
      </c>
      <c r="H38" s="2">
        <v>1435.5</v>
      </c>
      <c r="I38" s="2">
        <v>1500.1</v>
      </c>
      <c r="J38" s="2">
        <v>1600.4</v>
      </c>
      <c r="K38" s="2">
        <v>1739.6</v>
      </c>
      <c r="L38" s="2">
        <v>1810</v>
      </c>
      <c r="M38" s="2">
        <v>1895.9</v>
      </c>
      <c r="N38" s="2">
        <v>1988.1</v>
      </c>
      <c r="O38" s="2">
        <v>2087.1999999999998</v>
      </c>
      <c r="P38" s="2">
        <v>2193.4</v>
      </c>
      <c r="Q38" s="2">
        <v>2301.6999999999998</v>
      </c>
      <c r="R38" s="215"/>
    </row>
    <row r="39" spans="1:18" ht="14.75" customHeight="1">
      <c r="A39" s="127" t="s">
        <v>62</v>
      </c>
      <c r="B39" s="2">
        <v>282.5</v>
      </c>
      <c r="C39" s="2"/>
      <c r="D39" s="2">
        <v>284.2</v>
      </c>
      <c r="E39" s="2">
        <v>310.7</v>
      </c>
      <c r="F39" s="2">
        <v>320.10000000000002</v>
      </c>
      <c r="G39" s="2">
        <v>352</v>
      </c>
      <c r="H39" s="2">
        <v>375.8</v>
      </c>
      <c r="I39" s="2">
        <v>395.2</v>
      </c>
      <c r="J39" s="2">
        <v>418.9</v>
      </c>
      <c r="K39" s="2">
        <v>453.4</v>
      </c>
      <c r="L39" s="2">
        <v>472.5</v>
      </c>
      <c r="M39" s="2">
        <v>496.1</v>
      </c>
      <c r="N39" s="2">
        <v>521</v>
      </c>
      <c r="O39" s="2">
        <v>548.79999999999995</v>
      </c>
      <c r="P39" s="2">
        <v>578.4</v>
      </c>
      <c r="Q39" s="2">
        <v>609.1</v>
      </c>
      <c r="R39" s="215"/>
    </row>
    <row r="40" spans="1:18" ht="14.75" customHeight="1">
      <c r="A40" s="127" t="s">
        <v>63</v>
      </c>
      <c r="B40" s="2">
        <v>436.4</v>
      </c>
      <c r="C40" s="2"/>
      <c r="D40" s="2">
        <v>438.6</v>
      </c>
      <c r="E40" s="2">
        <v>488.4</v>
      </c>
      <c r="F40" s="2">
        <v>507.5</v>
      </c>
      <c r="G40" s="2">
        <v>563.29999999999995</v>
      </c>
      <c r="H40" s="2">
        <v>605.29999999999995</v>
      </c>
      <c r="I40" s="2">
        <v>640</v>
      </c>
      <c r="J40" s="2">
        <v>679.2</v>
      </c>
      <c r="K40" s="2">
        <v>725.7</v>
      </c>
      <c r="L40" s="2">
        <v>757</v>
      </c>
      <c r="M40" s="2">
        <v>795.7</v>
      </c>
      <c r="N40" s="2">
        <v>836.7</v>
      </c>
      <c r="O40" s="2">
        <v>882.3</v>
      </c>
      <c r="P40" s="2">
        <v>931.3</v>
      </c>
      <c r="Q40" s="2">
        <v>981.3</v>
      </c>
      <c r="R40" s="215"/>
    </row>
    <row r="41" spans="1:18" ht="14.75" customHeight="1">
      <c r="A41" s="127" t="s">
        <v>64</v>
      </c>
      <c r="B41" s="2">
        <v>1200.5</v>
      </c>
      <c r="C41" s="2"/>
      <c r="D41" s="2">
        <v>1244.4000000000001</v>
      </c>
      <c r="E41" s="2">
        <v>1422.9</v>
      </c>
      <c r="F41" s="2">
        <v>1393</v>
      </c>
      <c r="G41" s="2">
        <v>1541.7</v>
      </c>
      <c r="H41" s="2">
        <v>1646.1</v>
      </c>
      <c r="I41" s="2">
        <v>1714.4</v>
      </c>
      <c r="J41" s="2">
        <v>1830.4</v>
      </c>
      <c r="K41" s="2">
        <v>1917.1</v>
      </c>
      <c r="L41" s="2">
        <v>1984.5</v>
      </c>
      <c r="M41" s="2">
        <v>2075.1999999999998</v>
      </c>
      <c r="N41" s="2">
        <v>2167.5</v>
      </c>
      <c r="O41" s="2">
        <v>2268.6</v>
      </c>
      <c r="P41" s="2">
        <v>2375.8000000000002</v>
      </c>
      <c r="Q41" s="2">
        <v>2482.3000000000002</v>
      </c>
      <c r="R41" s="215"/>
    </row>
    <row r="42" spans="1:18" ht="14.75" customHeight="1">
      <c r="A42" s="177"/>
      <c r="B42" s="2"/>
      <c r="C42" s="2"/>
      <c r="D42" s="2"/>
      <c r="E42" s="2"/>
      <c r="F42" s="2"/>
      <c r="G42" s="2"/>
      <c r="H42" s="2"/>
      <c r="I42" s="2"/>
      <c r="J42" s="2"/>
      <c r="K42" s="2"/>
      <c r="L42" s="2"/>
      <c r="M42" s="2"/>
      <c r="N42" s="2"/>
      <c r="O42" s="2"/>
      <c r="P42" s="2"/>
      <c r="Q42" s="2"/>
      <c r="R42" s="215"/>
    </row>
    <row r="43" spans="1:18" ht="14.75" customHeight="1">
      <c r="A43" s="193" t="s">
        <v>65</v>
      </c>
      <c r="B43" s="2">
        <v>1395.4</v>
      </c>
      <c r="C43" s="2"/>
      <c r="D43" s="2">
        <v>1134.7</v>
      </c>
      <c r="E43" s="2">
        <v>1422.4</v>
      </c>
      <c r="F43" s="2">
        <v>1762.8</v>
      </c>
      <c r="G43" s="2">
        <v>1844.7</v>
      </c>
      <c r="H43" s="2">
        <v>1783.1</v>
      </c>
      <c r="I43" s="2">
        <v>1697.9</v>
      </c>
      <c r="J43" s="2">
        <v>1668.9</v>
      </c>
      <c r="K43" s="2">
        <v>1690.6</v>
      </c>
      <c r="L43" s="2">
        <v>1734.2</v>
      </c>
      <c r="M43" s="2">
        <v>1792.9</v>
      </c>
      <c r="N43" s="2">
        <v>1860.6</v>
      </c>
      <c r="O43" s="2">
        <v>1934.5</v>
      </c>
      <c r="P43" s="2">
        <v>2012.5</v>
      </c>
      <c r="Q43" s="2">
        <v>2092.6</v>
      </c>
    </row>
    <row r="44" spans="1:18" ht="14.75" customHeight="1">
      <c r="A44" s="75"/>
      <c r="B44" s="2"/>
      <c r="C44" s="2"/>
      <c r="D44" s="2"/>
      <c r="E44" s="2"/>
      <c r="F44" s="2"/>
      <c r="G44" s="2"/>
      <c r="H44" s="2"/>
      <c r="I44" s="2"/>
      <c r="J44" s="2"/>
      <c r="K44" s="2"/>
      <c r="L44" s="2"/>
      <c r="M44" s="2"/>
      <c r="N44" s="2"/>
      <c r="O44" s="2"/>
      <c r="P44" s="2"/>
    </row>
    <row r="45" spans="1:18" ht="14.75" customHeight="1">
      <c r="A45" s="75"/>
      <c r="B45" s="2"/>
      <c r="C45" s="2"/>
      <c r="D45" s="2"/>
      <c r="E45" s="2"/>
      <c r="F45" s="2"/>
      <c r="G45" s="2"/>
      <c r="H45" s="2"/>
      <c r="I45" s="2"/>
      <c r="J45" s="2"/>
      <c r="K45" s="2"/>
      <c r="L45" s="2"/>
      <c r="M45" s="2"/>
      <c r="N45" s="2"/>
      <c r="O45" s="2"/>
      <c r="P45" s="2"/>
      <c r="Q45" s="215"/>
      <c r="R45" s="215"/>
    </row>
    <row r="46" spans="1:18" ht="14.75" customHeight="1">
      <c r="A46" s="75"/>
      <c r="B46" s="2"/>
      <c r="C46" s="2"/>
      <c r="D46" s="2"/>
      <c r="E46" s="2"/>
      <c r="F46" s="2"/>
      <c r="G46" s="2"/>
      <c r="H46" s="2"/>
      <c r="I46" s="2"/>
      <c r="J46" s="2"/>
      <c r="K46" s="2"/>
      <c r="L46" s="2"/>
      <c r="M46" s="2"/>
      <c r="N46" s="2"/>
      <c r="O46" s="2"/>
      <c r="P46" s="2"/>
      <c r="Q46" s="215"/>
      <c r="R46" s="215"/>
    </row>
    <row r="47" spans="1:18" ht="14.75" customHeight="1">
      <c r="A47" s="19" t="s">
        <v>66</v>
      </c>
      <c r="B47" s="2"/>
      <c r="C47" s="2"/>
      <c r="D47" s="2"/>
      <c r="E47" s="2"/>
      <c r="F47" s="2"/>
      <c r="G47" s="2"/>
      <c r="H47" s="2"/>
      <c r="I47" s="2"/>
      <c r="J47" s="2"/>
      <c r="K47" s="2"/>
      <c r="L47" s="2"/>
      <c r="M47" s="2"/>
      <c r="N47" s="2"/>
      <c r="O47" s="2"/>
      <c r="P47" s="2"/>
      <c r="Q47" s="215"/>
      <c r="R47" s="215"/>
    </row>
    <row r="48" spans="1:18" ht="14.75" customHeight="1">
      <c r="A48" s="193" t="s">
        <v>67</v>
      </c>
      <c r="B48" s="2">
        <v>2246.6</v>
      </c>
      <c r="C48" s="2"/>
      <c r="D48" s="2">
        <v>2274.8000000000002</v>
      </c>
      <c r="E48" s="2">
        <v>2504.6</v>
      </c>
      <c r="F48" s="2">
        <v>2584.6999999999998</v>
      </c>
      <c r="G48" s="2">
        <v>2754.2</v>
      </c>
      <c r="H48" s="2">
        <v>2870.3</v>
      </c>
      <c r="I48" s="2">
        <v>2955.7</v>
      </c>
      <c r="J48" s="2">
        <v>3140.6</v>
      </c>
      <c r="K48" s="2">
        <v>3298.8</v>
      </c>
      <c r="L48" s="2">
        <v>3414.7</v>
      </c>
      <c r="M48" s="2">
        <v>3556</v>
      </c>
      <c r="N48" s="2">
        <v>3704.6</v>
      </c>
      <c r="O48" s="2">
        <v>3864</v>
      </c>
      <c r="P48" s="2">
        <v>4034</v>
      </c>
      <c r="Q48" s="2">
        <v>4206.6000000000004</v>
      </c>
      <c r="R48" s="215"/>
    </row>
    <row r="49" spans="1:18" ht="14.75" customHeight="1">
      <c r="A49" s="193" t="s">
        <v>68</v>
      </c>
      <c r="B49" s="2">
        <v>2001.6</v>
      </c>
      <c r="C49" s="2"/>
      <c r="D49" s="2">
        <v>2079.8000000000002</v>
      </c>
      <c r="E49" s="2">
        <v>2257.5</v>
      </c>
      <c r="F49" s="2">
        <v>2274.5</v>
      </c>
      <c r="G49" s="2">
        <v>2427.8000000000002</v>
      </c>
      <c r="H49" s="2">
        <v>2555.6999999999998</v>
      </c>
      <c r="I49" s="2">
        <v>2657.4</v>
      </c>
      <c r="J49" s="2">
        <v>2847.5</v>
      </c>
      <c r="K49" s="2">
        <v>3002.3</v>
      </c>
      <c r="L49" s="2">
        <v>3110.8</v>
      </c>
      <c r="M49" s="2">
        <v>3241.9</v>
      </c>
      <c r="N49" s="2">
        <v>3378.7</v>
      </c>
      <c r="O49" s="2">
        <v>3525</v>
      </c>
      <c r="P49" s="2">
        <v>3681</v>
      </c>
      <c r="Q49" s="2">
        <v>3839.4</v>
      </c>
      <c r="R49" s="215"/>
    </row>
    <row r="50" spans="1:18" ht="14.75" customHeight="1">
      <c r="A50" s="127" t="s">
        <v>69</v>
      </c>
      <c r="B50" s="2">
        <v>172</v>
      </c>
      <c r="C50" s="2"/>
      <c r="D50" s="2">
        <v>186.8</v>
      </c>
      <c r="E50" s="2">
        <v>199.3</v>
      </c>
      <c r="F50" s="2">
        <v>200.8</v>
      </c>
      <c r="G50" s="2">
        <v>210.8</v>
      </c>
      <c r="H50" s="2">
        <v>218</v>
      </c>
      <c r="I50" s="2">
        <v>224.9</v>
      </c>
      <c r="J50" s="2">
        <v>238</v>
      </c>
      <c r="K50" s="2">
        <v>245.5</v>
      </c>
      <c r="L50" s="2">
        <v>252.9</v>
      </c>
      <c r="M50" s="2">
        <v>260.5</v>
      </c>
      <c r="N50" s="2">
        <v>267.89999999999998</v>
      </c>
      <c r="O50" s="2">
        <v>275.39999999999998</v>
      </c>
      <c r="P50" s="2">
        <v>283.5</v>
      </c>
      <c r="Q50" s="2">
        <v>291.3</v>
      </c>
      <c r="R50" s="215"/>
    </row>
    <row r="51" spans="1:18" ht="14.75" customHeight="1">
      <c r="A51" s="127" t="s">
        <v>70</v>
      </c>
      <c r="B51" s="2">
        <v>418.3</v>
      </c>
      <c r="C51" s="2"/>
      <c r="D51" s="2">
        <v>447</v>
      </c>
      <c r="E51" s="2">
        <v>474</v>
      </c>
      <c r="F51" s="2">
        <v>476.1</v>
      </c>
      <c r="G51" s="2">
        <v>497</v>
      </c>
      <c r="H51" s="2">
        <v>515.5</v>
      </c>
      <c r="I51" s="2">
        <v>532.1</v>
      </c>
      <c r="J51" s="2">
        <v>573.20000000000005</v>
      </c>
      <c r="K51" s="2">
        <v>594.20000000000005</v>
      </c>
      <c r="L51" s="2">
        <v>613.4</v>
      </c>
      <c r="M51" s="2">
        <v>634.29999999999995</v>
      </c>
      <c r="N51" s="2">
        <v>655.8</v>
      </c>
      <c r="O51" s="2">
        <v>677.9</v>
      </c>
      <c r="P51" s="2">
        <v>701.1</v>
      </c>
      <c r="Q51" s="2">
        <v>725.2</v>
      </c>
      <c r="R51" s="215"/>
    </row>
    <row r="52" spans="1:18" ht="14.75" customHeight="1">
      <c r="A52" s="127" t="s">
        <v>71</v>
      </c>
      <c r="B52" s="2">
        <v>454.1</v>
      </c>
      <c r="C52" s="2"/>
      <c r="D52" s="2">
        <v>468.3</v>
      </c>
      <c r="E52" s="2">
        <v>494.4</v>
      </c>
      <c r="F52" s="2">
        <v>501</v>
      </c>
      <c r="G52" s="2">
        <v>514.20000000000005</v>
      </c>
      <c r="H52" s="2">
        <v>536.5</v>
      </c>
      <c r="I52" s="2">
        <v>555.5</v>
      </c>
      <c r="J52" s="2">
        <v>603.20000000000005</v>
      </c>
      <c r="K52" s="2">
        <v>636.70000000000005</v>
      </c>
      <c r="L52" s="2">
        <v>659.6</v>
      </c>
      <c r="M52" s="2">
        <v>687</v>
      </c>
      <c r="N52" s="2">
        <v>716.2</v>
      </c>
      <c r="O52" s="2">
        <v>746.9</v>
      </c>
      <c r="P52" s="2">
        <v>779.8</v>
      </c>
      <c r="Q52" s="2">
        <v>813.6</v>
      </c>
      <c r="R52" s="215"/>
    </row>
    <row r="53" spans="1:18" ht="14.75" customHeight="1">
      <c r="A53" s="127" t="s">
        <v>72</v>
      </c>
      <c r="B53" s="2">
        <v>269.8</v>
      </c>
      <c r="C53" s="2"/>
      <c r="D53" s="2">
        <v>272.7</v>
      </c>
      <c r="E53" s="2">
        <v>292.89999999999998</v>
      </c>
      <c r="F53" s="2">
        <v>301.10000000000002</v>
      </c>
      <c r="G53" s="2">
        <v>325.7</v>
      </c>
      <c r="H53" s="2">
        <v>344.5</v>
      </c>
      <c r="I53" s="2">
        <v>360</v>
      </c>
      <c r="J53" s="2">
        <v>384.1</v>
      </c>
      <c r="K53" s="2">
        <v>417.5</v>
      </c>
      <c r="L53" s="2">
        <v>434.4</v>
      </c>
      <c r="M53" s="2">
        <v>455</v>
      </c>
      <c r="N53" s="2">
        <v>477.1</v>
      </c>
      <c r="O53" s="2">
        <v>500.9</v>
      </c>
      <c r="P53" s="2">
        <v>526.4</v>
      </c>
      <c r="Q53" s="2">
        <v>552.4</v>
      </c>
      <c r="R53" s="215"/>
    </row>
    <row r="54" spans="1:18" ht="14.75" customHeight="1">
      <c r="A54" s="127" t="s">
        <v>73</v>
      </c>
      <c r="B54" s="2">
        <v>90.4</v>
      </c>
      <c r="C54" s="2"/>
      <c r="D54" s="2">
        <v>90.9</v>
      </c>
      <c r="E54" s="2">
        <v>99.4</v>
      </c>
      <c r="F54" s="2">
        <v>102.4</v>
      </c>
      <c r="G54" s="2">
        <v>112.6</v>
      </c>
      <c r="H54" s="2">
        <v>120.3</v>
      </c>
      <c r="I54" s="2">
        <v>126.5</v>
      </c>
      <c r="J54" s="2">
        <v>134</v>
      </c>
      <c r="K54" s="2">
        <v>145.1</v>
      </c>
      <c r="L54" s="2">
        <v>151.19999999999999</v>
      </c>
      <c r="M54" s="2">
        <v>158.80000000000001</v>
      </c>
      <c r="N54" s="2">
        <v>166.7</v>
      </c>
      <c r="O54" s="2">
        <v>175.6</v>
      </c>
      <c r="P54" s="2">
        <v>185.1</v>
      </c>
      <c r="Q54" s="2">
        <v>194.9</v>
      </c>
      <c r="R54" s="215"/>
    </row>
    <row r="55" spans="1:18" ht="14.75" customHeight="1">
      <c r="A55" s="127" t="s">
        <v>74</v>
      </c>
      <c r="B55" s="2">
        <v>152.69999999999999</v>
      </c>
      <c r="C55" s="2"/>
      <c r="D55" s="2">
        <v>153.5</v>
      </c>
      <c r="E55" s="2">
        <v>170.9</v>
      </c>
      <c r="F55" s="2">
        <v>177.6</v>
      </c>
      <c r="G55" s="2">
        <v>197.2</v>
      </c>
      <c r="H55" s="2">
        <v>211.9</v>
      </c>
      <c r="I55" s="2">
        <v>224</v>
      </c>
      <c r="J55" s="2">
        <v>237.7</v>
      </c>
      <c r="K55" s="2">
        <v>254</v>
      </c>
      <c r="L55" s="2">
        <v>265</v>
      </c>
      <c r="M55" s="2">
        <v>278.5</v>
      </c>
      <c r="N55" s="2">
        <v>292.8</v>
      </c>
      <c r="O55" s="2">
        <v>308.8</v>
      </c>
      <c r="P55" s="2">
        <v>326</v>
      </c>
      <c r="Q55" s="2">
        <v>343.5</v>
      </c>
      <c r="R55" s="215"/>
    </row>
    <row r="56" spans="1:18" ht="14.75" customHeight="1">
      <c r="A56" s="127" t="s">
        <v>75</v>
      </c>
      <c r="B56" s="2">
        <v>444.2</v>
      </c>
      <c r="C56" s="2"/>
      <c r="D56" s="2">
        <v>460.4</v>
      </c>
      <c r="E56" s="2">
        <v>526.5</v>
      </c>
      <c r="F56" s="2">
        <v>515.4</v>
      </c>
      <c r="G56" s="2">
        <v>570.4</v>
      </c>
      <c r="H56" s="2">
        <v>609.1</v>
      </c>
      <c r="I56" s="2">
        <v>634.29999999999995</v>
      </c>
      <c r="J56" s="2">
        <v>677.2</v>
      </c>
      <c r="K56" s="2">
        <v>709.3</v>
      </c>
      <c r="L56" s="2">
        <v>734.3</v>
      </c>
      <c r="M56" s="2">
        <v>767.8</v>
      </c>
      <c r="N56" s="2">
        <v>802</v>
      </c>
      <c r="O56" s="2">
        <v>839.4</v>
      </c>
      <c r="P56" s="2">
        <v>879</v>
      </c>
      <c r="Q56" s="2">
        <v>918.5</v>
      </c>
      <c r="R56" s="215"/>
    </row>
    <row r="57" spans="1:18" ht="14.75" customHeight="1">
      <c r="A57" s="194"/>
      <c r="B57" s="2"/>
      <c r="C57" s="2"/>
      <c r="D57" s="2"/>
      <c r="E57" s="2"/>
      <c r="F57" s="2"/>
      <c r="G57" s="2"/>
      <c r="H57" s="2"/>
      <c r="I57" s="2"/>
      <c r="J57" s="2"/>
      <c r="K57" s="2"/>
      <c r="L57" s="2"/>
      <c r="M57" s="2"/>
      <c r="N57" s="2"/>
      <c r="O57" s="2"/>
      <c r="P57" s="2"/>
      <c r="Q57" s="215"/>
      <c r="R57" s="215"/>
    </row>
    <row r="58" spans="1:18" ht="14.75" customHeight="1">
      <c r="A58" s="193" t="s">
        <v>76</v>
      </c>
      <c r="B58" s="2">
        <v>240.1</v>
      </c>
      <c r="C58" s="2"/>
      <c r="D58" s="2">
        <v>190.4</v>
      </c>
      <c r="E58" s="2">
        <v>242.1</v>
      </c>
      <c r="F58" s="2">
        <v>304.3</v>
      </c>
      <c r="G58" s="2">
        <v>319.39999999999998</v>
      </c>
      <c r="H58" s="2">
        <v>307.60000000000002</v>
      </c>
      <c r="I58" s="2">
        <v>291.39999999999998</v>
      </c>
      <c r="J58" s="2">
        <v>286.3</v>
      </c>
      <c r="K58" s="2">
        <v>289.7</v>
      </c>
      <c r="L58" s="2">
        <v>296.7</v>
      </c>
      <c r="M58" s="2">
        <v>306.60000000000002</v>
      </c>
      <c r="N58" s="2">
        <v>318.3</v>
      </c>
      <c r="O58" s="2">
        <v>331.1</v>
      </c>
      <c r="P58" s="2">
        <v>344.7</v>
      </c>
      <c r="Q58" s="2">
        <v>358.7</v>
      </c>
      <c r="R58" s="215"/>
    </row>
    <row r="59" spans="1:18" ht="14.75" customHeight="1">
      <c r="A59" s="193"/>
      <c r="B59" s="2"/>
      <c r="C59" s="2"/>
      <c r="D59" s="2"/>
      <c r="E59" s="2"/>
      <c r="F59" s="2"/>
      <c r="G59" s="2"/>
      <c r="H59" s="2"/>
      <c r="I59" s="2"/>
      <c r="J59" s="2"/>
      <c r="K59" s="2"/>
      <c r="L59" s="2"/>
      <c r="M59" s="2"/>
      <c r="N59" s="2"/>
      <c r="O59" s="2"/>
      <c r="P59" s="2"/>
      <c r="Q59" s="2"/>
      <c r="R59" s="215"/>
    </row>
    <row r="60" spans="1:18" ht="14.75" customHeight="1">
      <c r="A60" s="114" t="s">
        <v>77</v>
      </c>
      <c r="B60" s="2">
        <v>4.8</v>
      </c>
      <c r="C60" s="2"/>
      <c r="D60" s="2">
        <v>4.5999999999999996</v>
      </c>
      <c r="E60" s="2">
        <v>5</v>
      </c>
      <c r="F60" s="2">
        <v>5.9</v>
      </c>
      <c r="G60" s="2">
        <v>7</v>
      </c>
      <c r="H60" s="2">
        <v>7</v>
      </c>
      <c r="I60" s="2">
        <v>6.9</v>
      </c>
      <c r="J60" s="2">
        <v>6.8</v>
      </c>
      <c r="K60" s="2">
        <v>6.8</v>
      </c>
      <c r="L60" s="2">
        <v>7.2</v>
      </c>
      <c r="M60" s="2">
        <v>7.5</v>
      </c>
      <c r="N60" s="2">
        <v>7.7</v>
      </c>
      <c r="O60" s="2">
        <v>8</v>
      </c>
      <c r="P60" s="2">
        <v>8.1999999999999993</v>
      </c>
      <c r="Q60" s="2">
        <v>8.5</v>
      </c>
      <c r="R60" s="215"/>
    </row>
    <row r="61" spans="1:18" ht="14.75" customHeight="1">
      <c r="A61" s="114"/>
      <c r="B61" s="2"/>
      <c r="C61" s="2"/>
      <c r="D61" s="2"/>
      <c r="E61" s="2"/>
      <c r="F61" s="2"/>
      <c r="G61" s="2"/>
      <c r="H61" s="2"/>
      <c r="I61" s="2"/>
      <c r="J61" s="2"/>
      <c r="K61" s="2"/>
      <c r="L61" s="2"/>
      <c r="M61" s="2"/>
      <c r="N61" s="2"/>
      <c r="O61" s="2"/>
      <c r="P61" s="2"/>
      <c r="Q61" s="2"/>
      <c r="R61" s="215"/>
    </row>
    <row r="62" spans="1:18" ht="14.75" customHeight="1">
      <c r="A62" s="193" t="s">
        <v>78</v>
      </c>
      <c r="B62" s="2">
        <v>231.8</v>
      </c>
      <c r="C62" s="2"/>
      <c r="D62" s="2">
        <v>242.3</v>
      </c>
      <c r="E62" s="2">
        <v>249.3</v>
      </c>
      <c r="F62" s="2">
        <v>257.5</v>
      </c>
      <c r="G62" s="2">
        <v>261.5</v>
      </c>
      <c r="H62" s="2">
        <v>267.8</v>
      </c>
      <c r="I62" s="2">
        <v>270.8</v>
      </c>
      <c r="J62" s="2">
        <v>277.10000000000002</v>
      </c>
      <c r="K62" s="2">
        <v>279</v>
      </c>
      <c r="L62" s="2">
        <v>286.10000000000002</v>
      </c>
      <c r="M62" s="2">
        <v>287.7</v>
      </c>
      <c r="N62" s="2">
        <v>293.7</v>
      </c>
      <c r="O62" s="2">
        <v>294.89999999999998</v>
      </c>
      <c r="P62" s="2">
        <v>300.2</v>
      </c>
      <c r="Q62" s="2">
        <v>302.8</v>
      </c>
      <c r="R62" s="215"/>
    </row>
    <row r="63" spans="1:18" ht="14.75" customHeight="1">
      <c r="A63" s="193" t="s">
        <v>79</v>
      </c>
      <c r="B63" s="2">
        <v>2109.6</v>
      </c>
      <c r="C63" s="2"/>
      <c r="D63" s="2">
        <v>2136.1</v>
      </c>
      <c r="E63" s="2">
        <v>2364</v>
      </c>
      <c r="F63" s="2">
        <v>2440.1999999999998</v>
      </c>
      <c r="G63" s="2">
        <v>2607.8000000000002</v>
      </c>
      <c r="H63" s="2">
        <v>2719.8</v>
      </c>
      <c r="I63" s="2">
        <v>2803.7</v>
      </c>
      <c r="J63" s="2">
        <v>2982</v>
      </c>
      <c r="K63" s="2">
        <v>3137.9</v>
      </c>
      <c r="L63" s="2">
        <v>3249.1</v>
      </c>
      <c r="M63" s="2">
        <v>3388.5</v>
      </c>
      <c r="N63" s="2">
        <v>3532.6</v>
      </c>
      <c r="O63" s="2">
        <v>3690.3</v>
      </c>
      <c r="P63" s="2">
        <v>3855.7</v>
      </c>
      <c r="Q63" s="2">
        <v>4026.2</v>
      </c>
    </row>
    <row r="64" spans="1:18" ht="14.75" customHeight="1">
      <c r="A64" s="114" t="s">
        <v>80</v>
      </c>
      <c r="B64" s="2">
        <v>40</v>
      </c>
      <c r="C64" s="2"/>
      <c r="D64" s="2">
        <v>35.9</v>
      </c>
      <c r="E64" s="2">
        <v>44.4</v>
      </c>
      <c r="F64" s="2">
        <v>53.4</v>
      </c>
      <c r="G64" s="2">
        <v>57.2</v>
      </c>
      <c r="H64" s="2">
        <v>57</v>
      </c>
      <c r="I64" s="2">
        <v>56.2</v>
      </c>
      <c r="J64" s="2">
        <v>57.1</v>
      </c>
      <c r="K64" s="2">
        <v>58.8</v>
      </c>
      <c r="L64" s="2">
        <v>61</v>
      </c>
      <c r="M64" s="2">
        <v>63.8</v>
      </c>
      <c r="N64" s="2">
        <v>66.900000000000006</v>
      </c>
      <c r="O64" s="2">
        <v>70.2</v>
      </c>
      <c r="P64" s="2">
        <v>73.599999999999994</v>
      </c>
      <c r="Q64" s="2">
        <v>77</v>
      </c>
    </row>
    <row r="65" spans="1:18" ht="14.75" customHeight="1">
      <c r="A65" s="114" t="s">
        <v>81</v>
      </c>
      <c r="B65" s="2">
        <v>2149.6</v>
      </c>
      <c r="C65" s="2"/>
      <c r="D65" s="2">
        <v>2171.9</v>
      </c>
      <c r="E65" s="2">
        <v>2408.4</v>
      </c>
      <c r="F65" s="2">
        <v>2493.6999999999998</v>
      </c>
      <c r="G65" s="2">
        <v>2665</v>
      </c>
      <c r="H65" s="2">
        <v>2776.8</v>
      </c>
      <c r="I65" s="2">
        <v>2860</v>
      </c>
      <c r="J65" s="2">
        <v>3039.1</v>
      </c>
      <c r="K65" s="2">
        <v>3196.7</v>
      </c>
      <c r="L65" s="2">
        <v>3310.2</v>
      </c>
      <c r="M65" s="2">
        <v>3452.3</v>
      </c>
      <c r="N65" s="2">
        <v>3599.4</v>
      </c>
      <c r="O65" s="2">
        <v>3760.4</v>
      </c>
      <c r="P65" s="2">
        <v>3929.3</v>
      </c>
      <c r="Q65" s="2">
        <v>4103.3</v>
      </c>
    </row>
    <row r="66" spans="1:18" ht="14.75" customHeight="1">
      <c r="A66" s="177"/>
      <c r="B66" s="2"/>
      <c r="C66" s="2"/>
      <c r="D66" s="2"/>
      <c r="E66" s="2"/>
      <c r="F66" s="2"/>
      <c r="G66" s="2"/>
      <c r="H66" s="2"/>
      <c r="I66" s="2"/>
      <c r="J66" s="2"/>
      <c r="K66" s="2"/>
      <c r="L66" s="2"/>
      <c r="M66" s="2"/>
      <c r="N66" s="2"/>
      <c r="O66" s="2"/>
      <c r="P66" s="2"/>
      <c r="Q66" s="2"/>
    </row>
    <row r="67" spans="1:18" ht="14.75" customHeight="1">
      <c r="A67" s="129"/>
      <c r="B67" s="2"/>
      <c r="C67" s="2"/>
      <c r="D67" s="2"/>
      <c r="E67" s="2"/>
      <c r="F67" s="2"/>
      <c r="G67" s="2"/>
      <c r="H67" s="2"/>
      <c r="I67" s="2"/>
      <c r="J67" s="2"/>
      <c r="K67" s="2"/>
      <c r="L67" s="2"/>
      <c r="M67" s="2"/>
      <c r="N67" s="2"/>
      <c r="O67" s="2"/>
      <c r="P67" s="2"/>
      <c r="Q67" s="2"/>
      <c r="R67" s="96"/>
    </row>
    <row r="68" spans="1:18" ht="14.75" customHeight="1">
      <c r="A68" s="178" t="s">
        <v>20</v>
      </c>
      <c r="B68" s="2"/>
      <c r="C68" s="2"/>
      <c r="D68" s="2"/>
      <c r="E68" s="2"/>
      <c r="F68" s="2"/>
      <c r="G68" s="2"/>
      <c r="H68" s="2"/>
      <c r="I68" s="2"/>
      <c r="J68" s="2"/>
      <c r="K68" s="2"/>
      <c r="L68" s="2"/>
      <c r="M68" s="2"/>
      <c r="N68" s="2"/>
      <c r="O68" s="2"/>
      <c r="P68" s="2"/>
      <c r="Q68" s="2"/>
      <c r="R68" s="96"/>
    </row>
    <row r="69" spans="1:18" ht="14.75" customHeight="1">
      <c r="A69" s="177" t="s">
        <v>82</v>
      </c>
      <c r="B69" s="2">
        <v>161.30000000000001</v>
      </c>
      <c r="C69" s="2"/>
      <c r="D69" s="2">
        <v>164.7</v>
      </c>
      <c r="E69" s="2">
        <v>167.1</v>
      </c>
      <c r="F69" s="2">
        <v>168</v>
      </c>
      <c r="G69" s="2">
        <v>169.5</v>
      </c>
      <c r="H69" s="2">
        <v>170.8</v>
      </c>
      <c r="I69" s="2">
        <v>172.1</v>
      </c>
      <c r="J69" s="2">
        <v>173.2</v>
      </c>
      <c r="K69" s="2">
        <v>174.3</v>
      </c>
      <c r="L69" s="2">
        <v>175.8</v>
      </c>
      <c r="M69" s="2">
        <v>176.9</v>
      </c>
      <c r="N69" s="2">
        <v>177.9</v>
      </c>
      <c r="O69" s="2">
        <v>178.8</v>
      </c>
      <c r="P69" s="2">
        <v>179.7</v>
      </c>
      <c r="Q69" s="2">
        <v>180.5</v>
      </c>
    </row>
    <row r="70" spans="1:18" ht="14.75" customHeight="1">
      <c r="A70" s="114" t="s">
        <v>83</v>
      </c>
      <c r="B70" s="2">
        <v>15</v>
      </c>
      <c r="C70" s="2"/>
      <c r="D70" s="2">
        <v>15.1</v>
      </c>
      <c r="E70" s="2">
        <v>15.6</v>
      </c>
      <c r="F70" s="2">
        <v>20.9</v>
      </c>
      <c r="G70" s="2">
        <v>21.9</v>
      </c>
      <c r="H70" s="2">
        <v>23.9</v>
      </c>
      <c r="I70" s="2">
        <v>26</v>
      </c>
      <c r="J70" s="2">
        <v>27.9</v>
      </c>
      <c r="K70" s="2">
        <v>22.6</v>
      </c>
      <c r="L70" s="2">
        <v>23.9</v>
      </c>
      <c r="M70" s="2">
        <v>25.2</v>
      </c>
      <c r="N70" s="2">
        <v>26.3</v>
      </c>
      <c r="O70" s="2">
        <v>27.2</v>
      </c>
      <c r="P70" s="2">
        <v>28</v>
      </c>
      <c r="Q70" s="2">
        <v>28.6</v>
      </c>
    </row>
    <row r="71" spans="1:18" ht="14.75" customHeight="1">
      <c r="A71" s="114" t="s">
        <v>84</v>
      </c>
      <c r="B71" s="2">
        <v>0.33832799999999996</v>
      </c>
      <c r="C71" s="2"/>
      <c r="D71" s="2">
        <v>0.30268800000000001</v>
      </c>
      <c r="E71" s="2">
        <v>0.31399300000000002</v>
      </c>
      <c r="F71" s="2">
        <v>0.50547399999999998</v>
      </c>
      <c r="G71" s="2">
        <v>0.578376</v>
      </c>
      <c r="H71" s="2">
        <v>0.557867</v>
      </c>
      <c r="I71" s="2">
        <v>0.53935299999999997</v>
      </c>
      <c r="J71" s="2">
        <v>0.44220399999999999</v>
      </c>
      <c r="K71" s="2">
        <v>0.38158800000000004</v>
      </c>
      <c r="L71" s="2">
        <v>0.38960899999999998</v>
      </c>
      <c r="M71" s="2">
        <v>0.39187299999999997</v>
      </c>
      <c r="N71" s="2">
        <v>0.39524900000000002</v>
      </c>
      <c r="O71" s="2">
        <v>0.40037699999999998</v>
      </c>
      <c r="P71" s="2">
        <v>0.40296699999999996</v>
      </c>
      <c r="Q71" s="2">
        <v>0.40290900000000002</v>
      </c>
    </row>
    <row r="72" spans="1:18" ht="14.75" customHeight="1">
      <c r="A72" s="1"/>
      <c r="B72" s="2"/>
      <c r="C72" s="2"/>
      <c r="D72" s="2"/>
      <c r="E72" s="2"/>
      <c r="F72" s="2"/>
      <c r="G72" s="2"/>
      <c r="H72" s="2"/>
      <c r="I72" s="2"/>
      <c r="J72" s="2"/>
      <c r="K72" s="2"/>
      <c r="L72" s="2"/>
      <c r="M72" s="2"/>
      <c r="N72" s="2"/>
      <c r="O72" s="2"/>
      <c r="P72" s="2"/>
      <c r="Q72" s="2"/>
      <c r="R72" s="215"/>
    </row>
    <row r="73" spans="1:18" ht="14.75" customHeight="1">
      <c r="A73" s="177" t="s">
        <v>85</v>
      </c>
      <c r="B73" s="2">
        <v>2632.1</v>
      </c>
      <c r="C73" s="2"/>
      <c r="D73" s="2">
        <v>2176.5</v>
      </c>
      <c r="E73" s="2">
        <v>2426.1</v>
      </c>
      <c r="F73" s="2">
        <v>2656</v>
      </c>
      <c r="G73" s="2">
        <v>2751.3</v>
      </c>
      <c r="H73" s="2">
        <v>2947</v>
      </c>
      <c r="I73" s="2">
        <v>3044.2</v>
      </c>
      <c r="J73" s="2">
        <v>3193.3</v>
      </c>
      <c r="K73" s="2">
        <v>3339</v>
      </c>
      <c r="L73" s="2">
        <v>3461.1</v>
      </c>
      <c r="M73" s="2">
        <v>3594.4</v>
      </c>
      <c r="N73" s="2">
        <v>3743.9</v>
      </c>
      <c r="O73" s="2">
        <v>3902.6</v>
      </c>
      <c r="P73" s="2">
        <v>4071.9</v>
      </c>
      <c r="Q73" s="2">
        <v>4249</v>
      </c>
      <c r="R73" s="215"/>
    </row>
    <row r="74" spans="1:18" ht="14.75" customHeight="1">
      <c r="A74" s="177"/>
      <c r="B74" s="2"/>
      <c r="C74" s="2"/>
      <c r="D74" s="130"/>
      <c r="E74" s="2"/>
      <c r="F74" s="2"/>
      <c r="G74" s="2"/>
      <c r="H74" s="2"/>
      <c r="I74" s="2"/>
      <c r="J74" s="2"/>
      <c r="K74" s="2"/>
      <c r="L74" s="2"/>
      <c r="M74" s="2"/>
      <c r="N74" s="2"/>
      <c r="O74" s="2"/>
      <c r="P74" s="2"/>
      <c r="Q74" s="2"/>
    </row>
    <row r="75" spans="1:18" ht="14.25" customHeight="1">
      <c r="A75" s="177" t="s">
        <v>86</v>
      </c>
      <c r="B75" s="2">
        <v>59.4</v>
      </c>
      <c r="C75" s="2"/>
      <c r="D75" s="2">
        <v>66</v>
      </c>
      <c r="E75" s="2">
        <v>70.8</v>
      </c>
      <c r="F75" s="2">
        <v>71.2</v>
      </c>
      <c r="G75" s="2">
        <v>72.2</v>
      </c>
      <c r="H75" s="2">
        <v>73.599999999999994</v>
      </c>
      <c r="I75" s="2">
        <v>74.8</v>
      </c>
      <c r="J75" s="2">
        <v>75</v>
      </c>
      <c r="K75" s="2">
        <v>75.400000000000006</v>
      </c>
      <c r="L75" s="2">
        <v>76.3</v>
      </c>
      <c r="M75" s="2">
        <v>76.7</v>
      </c>
      <c r="N75" s="2">
        <v>77</v>
      </c>
      <c r="O75" s="2">
        <v>77.3</v>
      </c>
      <c r="P75" s="2">
        <v>77.599999999999994</v>
      </c>
      <c r="Q75" s="2">
        <v>78.2</v>
      </c>
    </row>
    <row r="76" spans="1:18" ht="15" customHeight="1">
      <c r="A76" s="177" t="s">
        <v>87</v>
      </c>
      <c r="B76" s="2">
        <v>117.6</v>
      </c>
      <c r="C76" s="2"/>
      <c r="D76" s="2">
        <v>119.4</v>
      </c>
      <c r="E76" s="2">
        <v>119.6</v>
      </c>
      <c r="F76" s="2">
        <v>126.4</v>
      </c>
      <c r="G76" s="2">
        <v>126</v>
      </c>
      <c r="H76" s="2">
        <v>129.30000000000001</v>
      </c>
      <c r="I76" s="2">
        <v>129.30000000000001</v>
      </c>
      <c r="J76" s="2">
        <v>133.19999999999999</v>
      </c>
      <c r="K76" s="2">
        <v>132.69999999999999</v>
      </c>
      <c r="L76" s="2">
        <v>137</v>
      </c>
      <c r="M76" s="2">
        <v>136.4</v>
      </c>
      <c r="N76" s="2">
        <v>140.1</v>
      </c>
      <c r="O76" s="2">
        <v>139.1</v>
      </c>
      <c r="P76" s="2">
        <v>142.1</v>
      </c>
      <c r="Q76" s="2">
        <v>142</v>
      </c>
      <c r="R76" s="216"/>
    </row>
    <row r="77" spans="1:18" ht="14.75" customHeight="1">
      <c r="A77" s="177"/>
      <c r="B77" s="2"/>
      <c r="C77" s="2"/>
      <c r="D77" s="2"/>
      <c r="E77" s="2"/>
      <c r="F77" s="2"/>
      <c r="G77" s="2"/>
      <c r="H77" s="2"/>
      <c r="I77" s="2"/>
      <c r="J77" s="2"/>
      <c r="K77" s="2"/>
      <c r="L77" s="2"/>
      <c r="M77" s="2"/>
      <c r="N77" s="2"/>
      <c r="O77" s="2"/>
      <c r="P77" s="2"/>
      <c r="Q77" s="2"/>
      <c r="R77" s="216"/>
    </row>
    <row r="78" spans="1:18" ht="14.75" customHeight="1">
      <c r="A78" s="1"/>
      <c r="B78" s="2"/>
      <c r="C78" s="2"/>
      <c r="D78" s="2"/>
      <c r="E78" s="2"/>
      <c r="F78" s="2"/>
      <c r="G78" s="2"/>
      <c r="H78" s="2"/>
      <c r="I78" s="2"/>
      <c r="J78" s="2"/>
      <c r="K78" s="2"/>
      <c r="L78" s="2"/>
      <c r="M78" s="2"/>
      <c r="N78" s="2"/>
      <c r="O78" s="2"/>
      <c r="P78" s="2"/>
      <c r="Q78" s="2"/>
      <c r="R78" s="216"/>
    </row>
    <row r="79" spans="1:18" ht="14.75" customHeight="1">
      <c r="A79" s="16" t="s">
        <v>88</v>
      </c>
      <c r="B79" s="2"/>
      <c r="C79" s="2"/>
      <c r="D79" s="2"/>
      <c r="E79" s="2"/>
      <c r="F79" s="2"/>
      <c r="G79" s="2"/>
      <c r="H79" s="2"/>
      <c r="I79" s="2"/>
      <c r="J79" s="2"/>
      <c r="K79" s="2"/>
      <c r="L79" s="2"/>
      <c r="M79" s="2"/>
      <c r="N79" s="2"/>
      <c r="O79" s="2"/>
      <c r="P79" s="2"/>
      <c r="Q79" s="2"/>
      <c r="R79" s="216"/>
    </row>
    <row r="80" spans="1:18" ht="14.75" customHeight="1">
      <c r="A80" s="145" t="s">
        <v>89</v>
      </c>
      <c r="B80" s="20">
        <v>22.9</v>
      </c>
      <c r="C80" s="20"/>
      <c r="D80" s="20">
        <v>22.1</v>
      </c>
      <c r="E80" s="20">
        <v>23.3</v>
      </c>
      <c r="F80" s="20">
        <v>23.3</v>
      </c>
      <c r="G80" s="20">
        <v>23.5</v>
      </c>
      <c r="H80" s="20">
        <v>23.3</v>
      </c>
      <c r="I80" s="20">
        <v>22.9</v>
      </c>
      <c r="J80" s="20">
        <v>22.9</v>
      </c>
      <c r="K80" s="20">
        <v>22.8</v>
      </c>
      <c r="L80" s="20">
        <v>22.8</v>
      </c>
      <c r="M80" s="20">
        <v>22.8</v>
      </c>
      <c r="N80" s="20">
        <v>22.9</v>
      </c>
      <c r="O80" s="20">
        <v>22.9</v>
      </c>
      <c r="P80" s="20">
        <v>23</v>
      </c>
      <c r="Q80" s="20">
        <v>23</v>
      </c>
      <c r="R80" s="216"/>
    </row>
    <row r="81" spans="1:18" ht="14.75" customHeight="1">
      <c r="A81" s="145" t="s">
        <v>90</v>
      </c>
      <c r="B81" s="20">
        <v>38.799999999999997</v>
      </c>
      <c r="C81" s="20"/>
      <c r="D81" s="20">
        <v>37.799999999999997</v>
      </c>
      <c r="E81" s="20">
        <v>39.1</v>
      </c>
      <c r="F81" s="20">
        <v>39</v>
      </c>
      <c r="G81" s="20">
        <v>39.299999999999997</v>
      </c>
      <c r="H81" s="20">
        <v>39.200000000000003</v>
      </c>
      <c r="I81" s="20">
        <v>38.9</v>
      </c>
      <c r="J81" s="20">
        <v>38.799999999999997</v>
      </c>
      <c r="K81" s="20">
        <v>38.799999999999997</v>
      </c>
      <c r="L81" s="20">
        <v>38.700000000000003</v>
      </c>
      <c r="M81" s="20">
        <v>38.700000000000003</v>
      </c>
      <c r="N81" s="20">
        <v>38.799999999999997</v>
      </c>
      <c r="O81" s="20">
        <v>38.799999999999997</v>
      </c>
      <c r="P81" s="20">
        <v>38.799999999999997</v>
      </c>
      <c r="Q81" s="20">
        <v>38.799999999999997</v>
      </c>
      <c r="R81" s="216"/>
    </row>
    <row r="82" spans="1:18" ht="14.75" customHeight="1">
      <c r="A82" s="145" t="s">
        <v>91</v>
      </c>
      <c r="B82" s="20">
        <v>50.1</v>
      </c>
      <c r="C82" s="20"/>
      <c r="D82" s="20">
        <v>49</v>
      </c>
      <c r="E82" s="20">
        <v>50.2</v>
      </c>
      <c r="F82" s="20">
        <v>50.2</v>
      </c>
      <c r="G82" s="20">
        <v>50.5</v>
      </c>
      <c r="H82" s="20">
        <v>50.4</v>
      </c>
      <c r="I82" s="20">
        <v>50.1</v>
      </c>
      <c r="J82" s="20">
        <v>50.1</v>
      </c>
      <c r="K82" s="20">
        <v>50</v>
      </c>
      <c r="L82" s="20">
        <v>50</v>
      </c>
      <c r="M82" s="20">
        <v>50</v>
      </c>
      <c r="N82" s="20">
        <v>50</v>
      </c>
      <c r="O82" s="20">
        <v>50</v>
      </c>
      <c r="P82" s="20">
        <v>50</v>
      </c>
      <c r="Q82" s="20">
        <v>50</v>
      </c>
    </row>
    <row r="83" spans="1:18" ht="14.75" customHeight="1">
      <c r="A83" s="145" t="s">
        <v>92</v>
      </c>
      <c r="B83" s="20">
        <v>70.8</v>
      </c>
      <c r="C83" s="20"/>
      <c r="D83" s="20">
        <v>70.099999999999994</v>
      </c>
      <c r="E83" s="20">
        <v>70.8</v>
      </c>
      <c r="F83" s="20">
        <v>70.8</v>
      </c>
      <c r="G83" s="20">
        <v>70.900000000000006</v>
      </c>
      <c r="H83" s="20">
        <v>70.900000000000006</v>
      </c>
      <c r="I83" s="20">
        <v>70.7</v>
      </c>
      <c r="J83" s="20">
        <v>70.599999999999994</v>
      </c>
      <c r="K83" s="20">
        <v>70.599999999999994</v>
      </c>
      <c r="L83" s="20">
        <v>70.5</v>
      </c>
      <c r="M83" s="20">
        <v>70.5</v>
      </c>
      <c r="N83" s="20">
        <v>70.5</v>
      </c>
      <c r="O83" s="20">
        <v>70.400000000000006</v>
      </c>
      <c r="P83" s="20">
        <v>70.400000000000006</v>
      </c>
      <c r="Q83" s="20">
        <v>70.400000000000006</v>
      </c>
    </row>
    <row r="84" spans="1:18" ht="14.75" customHeight="1">
      <c r="A84" s="145" t="s">
        <v>93</v>
      </c>
      <c r="B84" s="20">
        <v>89.4</v>
      </c>
      <c r="C84" s="20"/>
      <c r="D84" s="20">
        <v>89</v>
      </c>
      <c r="E84" s="20">
        <v>89.3</v>
      </c>
      <c r="F84" s="20">
        <v>89.1</v>
      </c>
      <c r="G84" s="20">
        <v>89.2</v>
      </c>
      <c r="H84" s="20">
        <v>89.1</v>
      </c>
      <c r="I84" s="20">
        <v>89</v>
      </c>
      <c r="J84" s="20">
        <v>89</v>
      </c>
      <c r="K84" s="20">
        <v>89</v>
      </c>
      <c r="L84" s="20">
        <v>88.9</v>
      </c>
      <c r="M84" s="20">
        <v>88.9</v>
      </c>
      <c r="N84" s="20">
        <v>88.8</v>
      </c>
      <c r="O84" s="20">
        <v>88.8</v>
      </c>
      <c r="P84" s="20">
        <v>88.8</v>
      </c>
      <c r="Q84" s="20">
        <v>88.8</v>
      </c>
    </row>
    <row r="85" spans="1:18" ht="14.75" customHeight="1">
      <c r="A85" s="217"/>
      <c r="B85" s="218"/>
      <c r="C85" s="218"/>
      <c r="D85" s="218"/>
      <c r="E85" s="218"/>
      <c r="F85" s="218"/>
      <c r="G85" s="218"/>
      <c r="H85" s="218"/>
      <c r="I85" s="218"/>
      <c r="J85" s="218"/>
      <c r="K85" s="218"/>
      <c r="L85" s="218"/>
      <c r="M85" s="218"/>
      <c r="N85" s="218"/>
      <c r="O85" s="218"/>
      <c r="P85" s="218"/>
      <c r="Q85" s="218"/>
    </row>
    <row r="86" spans="1:18" ht="14.75" customHeight="1">
      <c r="A86" s="177"/>
      <c r="B86" s="219"/>
      <c r="C86" s="219"/>
      <c r="D86" s="219"/>
      <c r="E86" s="219"/>
      <c r="F86" s="219"/>
      <c r="G86" s="219"/>
      <c r="H86" s="219"/>
      <c r="I86" s="219"/>
      <c r="J86" s="219"/>
      <c r="K86" s="219"/>
      <c r="L86" s="219"/>
      <c r="M86" s="219"/>
      <c r="N86" s="219"/>
      <c r="O86" s="1"/>
      <c r="P86" s="219"/>
      <c r="Q86" s="219"/>
    </row>
    <row r="87" spans="1:18" ht="14.75" customHeight="1">
      <c r="A87" s="1" t="s">
        <v>24</v>
      </c>
      <c r="B87" s="50"/>
      <c r="C87" s="50"/>
      <c r="D87" s="50"/>
      <c r="E87" s="50"/>
      <c r="F87" s="50"/>
      <c r="G87" s="50"/>
      <c r="H87" s="50"/>
      <c r="I87" s="50"/>
      <c r="J87" s="50"/>
      <c r="K87" s="50"/>
      <c r="L87" s="50"/>
      <c r="M87" s="50"/>
      <c r="N87" s="1"/>
      <c r="O87" s="1"/>
      <c r="P87" s="50"/>
      <c r="Q87" s="50"/>
    </row>
    <row r="88" spans="1:18" ht="56.25" customHeight="1">
      <c r="A88" s="249" t="s">
        <v>94</v>
      </c>
      <c r="B88" s="249"/>
      <c r="C88" s="249"/>
      <c r="D88" s="249"/>
      <c r="E88" s="249"/>
      <c r="F88" s="249"/>
      <c r="G88" s="249"/>
      <c r="H88" s="249"/>
      <c r="I88" s="249"/>
      <c r="J88" s="249"/>
      <c r="K88" s="249"/>
      <c r="L88" s="249"/>
      <c r="M88" s="249"/>
      <c r="N88" s="1"/>
      <c r="O88" s="1"/>
    </row>
    <row r="89" spans="1:18" ht="45" customHeight="1">
      <c r="A89" s="248" t="s">
        <v>279</v>
      </c>
      <c r="B89" s="248"/>
      <c r="C89" s="248"/>
      <c r="D89" s="248"/>
      <c r="E89" s="248"/>
      <c r="F89" s="248"/>
      <c r="G89" s="248"/>
      <c r="H89" s="248"/>
      <c r="I89" s="248"/>
      <c r="J89" s="248"/>
      <c r="K89" s="248"/>
      <c r="L89" s="248"/>
      <c r="M89" s="248"/>
      <c r="N89" s="248"/>
      <c r="O89" s="187"/>
    </row>
    <row r="90" spans="1:18" ht="28.25" customHeight="1">
      <c r="A90" s="183" t="s">
        <v>95</v>
      </c>
      <c r="B90" s="183"/>
      <c r="C90" s="183"/>
      <c r="D90" s="183"/>
      <c r="E90" s="183"/>
      <c r="F90" s="183"/>
      <c r="G90" s="183"/>
      <c r="H90" s="183"/>
      <c r="I90" s="183"/>
      <c r="J90" s="183"/>
      <c r="K90" s="183"/>
      <c r="L90" s="183"/>
      <c r="M90" s="183"/>
      <c r="N90" s="1"/>
      <c r="O90" s="1"/>
    </row>
    <row r="91" spans="1:18" ht="28.25" customHeight="1">
      <c r="A91" s="249" t="s">
        <v>284</v>
      </c>
      <c r="B91" s="249"/>
      <c r="C91" s="249"/>
      <c r="D91" s="249"/>
      <c r="E91" s="249"/>
      <c r="F91" s="249"/>
      <c r="G91" s="249"/>
      <c r="H91" s="249"/>
      <c r="I91" s="249"/>
      <c r="J91" s="249"/>
      <c r="K91" s="249"/>
      <c r="L91" s="249"/>
      <c r="M91" s="249"/>
      <c r="N91" s="1"/>
      <c r="O91" s="1"/>
    </row>
    <row r="92" spans="1:18" ht="28.25" customHeight="1">
      <c r="A92" s="249" t="s">
        <v>96</v>
      </c>
      <c r="B92" s="249"/>
      <c r="C92" s="249"/>
      <c r="D92" s="249"/>
      <c r="E92" s="249"/>
      <c r="F92" s="249"/>
      <c r="G92" s="249"/>
      <c r="H92" s="249"/>
      <c r="I92" s="249"/>
      <c r="J92" s="249"/>
      <c r="K92" s="249"/>
      <c r="L92" s="249"/>
      <c r="M92" s="249"/>
      <c r="N92" s="1"/>
      <c r="O92" s="1"/>
    </row>
    <row r="93" spans="1:18" ht="45" customHeight="1">
      <c r="A93" s="249" t="s">
        <v>97</v>
      </c>
      <c r="B93" s="249"/>
      <c r="C93" s="249"/>
      <c r="D93" s="249"/>
      <c r="E93" s="249"/>
      <c r="F93" s="249"/>
      <c r="G93" s="249"/>
      <c r="H93" s="249"/>
      <c r="I93" s="249"/>
      <c r="J93" s="249"/>
      <c r="K93" s="249"/>
      <c r="L93" s="249"/>
      <c r="M93" s="249"/>
      <c r="N93" s="1"/>
      <c r="O93" s="1"/>
    </row>
    <row r="94" spans="1:18" ht="26" customHeight="1">
      <c r="A94" s="249" t="s">
        <v>98</v>
      </c>
      <c r="B94" s="249"/>
      <c r="C94" s="249"/>
      <c r="D94" s="249"/>
      <c r="E94" s="249"/>
      <c r="F94" s="249"/>
      <c r="G94" s="249"/>
      <c r="H94" s="249"/>
      <c r="I94" s="249"/>
      <c r="J94" s="249"/>
      <c r="K94" s="249"/>
      <c r="L94" s="249"/>
      <c r="M94" s="249"/>
      <c r="N94" s="1"/>
      <c r="O94" s="1"/>
    </row>
    <row r="95" spans="1:18" ht="28.25" customHeight="1">
      <c r="A95" s="248" t="s">
        <v>283</v>
      </c>
      <c r="B95" s="248"/>
      <c r="C95" s="248"/>
      <c r="D95" s="248"/>
      <c r="E95" s="248"/>
      <c r="F95" s="248"/>
      <c r="G95" s="248"/>
      <c r="H95" s="248"/>
      <c r="I95" s="248"/>
      <c r="J95" s="248"/>
      <c r="K95" s="248"/>
      <c r="L95" s="248"/>
      <c r="M95" s="248"/>
      <c r="N95" s="1"/>
      <c r="O95" s="1"/>
    </row>
    <row r="96" spans="1:18" ht="30" customHeight="1">
      <c r="A96" s="249" t="s">
        <v>99</v>
      </c>
      <c r="B96" s="249"/>
      <c r="C96" s="249"/>
      <c r="D96" s="249"/>
      <c r="E96" s="249"/>
      <c r="F96" s="249"/>
      <c r="G96" s="249"/>
      <c r="H96" s="249"/>
      <c r="I96" s="249"/>
      <c r="J96" s="249"/>
      <c r="K96" s="249"/>
      <c r="L96" s="249"/>
      <c r="M96" s="249"/>
      <c r="N96" s="1"/>
      <c r="O96" s="1"/>
    </row>
    <row r="97" spans="1:15" ht="28.25" customHeight="1">
      <c r="A97" s="249" t="s">
        <v>100</v>
      </c>
      <c r="B97" s="249"/>
      <c r="C97" s="249"/>
      <c r="D97" s="249"/>
      <c r="E97" s="249"/>
      <c r="F97" s="249"/>
      <c r="G97" s="249"/>
      <c r="H97" s="249"/>
      <c r="I97" s="249"/>
      <c r="J97" s="249"/>
      <c r="K97" s="249"/>
      <c r="L97" s="249"/>
      <c r="M97" s="249"/>
      <c r="N97" s="1"/>
      <c r="O97" s="1"/>
    </row>
    <row r="98" spans="1:15" ht="28.25" customHeight="1">
      <c r="A98" s="248" t="s">
        <v>101</v>
      </c>
      <c r="B98" s="248"/>
      <c r="C98" s="248"/>
      <c r="D98" s="248"/>
      <c r="E98" s="248"/>
      <c r="F98" s="248"/>
      <c r="G98" s="248"/>
      <c r="H98" s="248"/>
      <c r="I98" s="248"/>
      <c r="J98" s="248"/>
      <c r="K98" s="248"/>
      <c r="L98" s="248"/>
      <c r="M98" s="248"/>
      <c r="N98" s="1"/>
      <c r="O98" s="1"/>
    </row>
    <row r="99" spans="1:15" ht="28.25" customHeight="1">
      <c r="A99" s="248" t="s">
        <v>102</v>
      </c>
      <c r="B99" s="248"/>
      <c r="C99" s="248"/>
      <c r="D99" s="248"/>
      <c r="E99" s="248"/>
      <c r="F99" s="248"/>
      <c r="G99" s="248"/>
      <c r="H99" s="248"/>
      <c r="I99" s="248"/>
      <c r="J99" s="248"/>
      <c r="K99" s="248"/>
      <c r="L99" s="248"/>
      <c r="M99" s="248"/>
      <c r="N99" s="1"/>
      <c r="O99" s="1"/>
    </row>
    <row r="100" spans="1:15" ht="28.25" customHeight="1">
      <c r="A100" s="249" t="s">
        <v>103</v>
      </c>
      <c r="B100" s="249"/>
      <c r="C100" s="249"/>
      <c r="D100" s="249"/>
      <c r="E100" s="249"/>
      <c r="F100" s="249"/>
      <c r="G100" s="249"/>
      <c r="H100" s="249"/>
      <c r="I100" s="249"/>
      <c r="J100" s="249"/>
      <c r="K100" s="249"/>
      <c r="L100" s="249"/>
      <c r="M100" s="249"/>
      <c r="N100" s="1"/>
      <c r="O100" s="1"/>
    </row>
    <row r="101" spans="1:15" ht="28.25" customHeight="1">
      <c r="A101" s="249" t="s">
        <v>104</v>
      </c>
      <c r="B101" s="249"/>
      <c r="C101" s="249"/>
      <c r="D101" s="249"/>
      <c r="E101" s="249"/>
      <c r="F101" s="249"/>
      <c r="G101" s="249"/>
      <c r="H101" s="249"/>
      <c r="I101" s="249"/>
      <c r="J101" s="249"/>
      <c r="K101" s="249"/>
      <c r="L101" s="249"/>
      <c r="M101" s="249"/>
      <c r="N101" s="1"/>
      <c r="O101" s="1"/>
    </row>
    <row r="102" spans="1:15" ht="30" customHeight="1">
      <c r="A102" s="248" t="s">
        <v>282</v>
      </c>
      <c r="B102" s="248"/>
      <c r="C102" s="248"/>
      <c r="D102" s="248"/>
      <c r="E102" s="248"/>
      <c r="F102" s="248"/>
      <c r="G102" s="248"/>
      <c r="H102" s="248"/>
      <c r="I102" s="248"/>
      <c r="J102" s="248"/>
      <c r="K102" s="248"/>
      <c r="L102" s="248"/>
      <c r="M102" s="248"/>
      <c r="N102" s="1"/>
      <c r="O102" s="1"/>
    </row>
    <row r="103" spans="1:15" ht="28.25" customHeight="1">
      <c r="A103" s="249" t="s">
        <v>105</v>
      </c>
      <c r="B103" s="249"/>
      <c r="C103" s="249"/>
      <c r="D103" s="249"/>
      <c r="E103" s="249"/>
      <c r="F103" s="249"/>
      <c r="G103" s="249"/>
      <c r="H103" s="249"/>
      <c r="I103" s="249"/>
      <c r="J103" s="249"/>
      <c r="K103" s="249"/>
      <c r="L103" s="249"/>
      <c r="M103" s="249"/>
      <c r="N103" s="1"/>
      <c r="O103" s="1"/>
    </row>
    <row r="104" spans="1:15" ht="71.25" customHeight="1">
      <c r="A104" s="248" t="s">
        <v>280</v>
      </c>
      <c r="B104" s="248"/>
      <c r="C104" s="248"/>
      <c r="D104" s="248"/>
      <c r="E104" s="248"/>
      <c r="F104" s="248"/>
      <c r="G104" s="248"/>
      <c r="H104" s="248"/>
      <c r="I104" s="248"/>
      <c r="J104" s="248"/>
      <c r="K104" s="248"/>
      <c r="L104" s="248"/>
      <c r="M104" s="248"/>
      <c r="N104" s="1"/>
      <c r="O104" s="1"/>
    </row>
    <row r="105" spans="1:15" ht="28.25" customHeight="1">
      <c r="A105" s="249" t="s">
        <v>106</v>
      </c>
      <c r="B105" s="249"/>
      <c r="C105" s="249"/>
      <c r="D105" s="249"/>
      <c r="E105" s="249"/>
      <c r="F105" s="249"/>
      <c r="G105" s="249"/>
      <c r="H105" s="249"/>
      <c r="I105" s="249"/>
      <c r="J105" s="249"/>
      <c r="K105" s="249"/>
      <c r="L105" s="249"/>
      <c r="M105" s="249"/>
      <c r="N105" s="1"/>
      <c r="O105" s="1"/>
    </row>
    <row r="106" spans="1:15" ht="28.25" customHeight="1">
      <c r="A106" s="249" t="s">
        <v>281</v>
      </c>
      <c r="B106" s="249"/>
      <c r="C106" s="249"/>
      <c r="D106" s="249"/>
      <c r="E106" s="249"/>
      <c r="F106" s="249"/>
      <c r="G106" s="249"/>
      <c r="H106" s="249"/>
      <c r="I106" s="249"/>
      <c r="J106" s="249"/>
      <c r="K106" s="249"/>
      <c r="L106" s="249"/>
      <c r="M106" s="249"/>
      <c r="N106" s="1"/>
      <c r="O106" s="1"/>
    </row>
    <row r="107" spans="1:15">
      <c r="A107" s="133"/>
      <c r="B107" s="133"/>
      <c r="C107" s="133"/>
      <c r="D107" s="133"/>
      <c r="E107" s="133"/>
      <c r="F107" s="133"/>
      <c r="G107" s="133"/>
      <c r="H107" s="133"/>
      <c r="I107" s="133"/>
      <c r="J107" s="133"/>
      <c r="K107" s="133"/>
      <c r="L107" s="133"/>
      <c r="M107" s="133"/>
      <c r="N107" s="133"/>
      <c r="O107" s="1"/>
    </row>
    <row r="109" spans="1:15">
      <c r="A109" s="239" t="s">
        <v>25</v>
      </c>
    </row>
  </sheetData>
  <mergeCells count="19">
    <mergeCell ref="D8:Q8"/>
    <mergeCell ref="A88:M88"/>
    <mergeCell ref="A89:N89"/>
    <mergeCell ref="A91:M91"/>
    <mergeCell ref="A92:M92"/>
    <mergeCell ref="A93:M93"/>
    <mergeCell ref="A94:M94"/>
    <mergeCell ref="A95:M95"/>
    <mergeCell ref="A96:M96"/>
    <mergeCell ref="A97:M97"/>
    <mergeCell ref="A98:M98"/>
    <mergeCell ref="A99:M99"/>
    <mergeCell ref="A100:M100"/>
    <mergeCell ref="A106:M106"/>
    <mergeCell ref="A101:M101"/>
    <mergeCell ref="A102:M102"/>
    <mergeCell ref="A103:M103"/>
    <mergeCell ref="A104:M104"/>
    <mergeCell ref="A105:M105"/>
  </mergeCells>
  <hyperlinks>
    <hyperlink ref="A109" location="Contents!A1" display="Back to Table of Contents" xr:uid="{1C93CBE2-257C-4A3C-A2FB-00A162F0EDF4}"/>
    <hyperlink ref="A2" r:id="rId1" xr:uid="{914E08CF-8ABA-5841-A089-3A891E5F3A25}"/>
  </hyperlinks>
  <pageMargins left="0.7" right="0.7" top="0.75" bottom="0.75" header="0.3" footer="0.3"/>
  <pageSetup scale="57" fitToHeight="0" orientation="landscape" horizontalDpi="4294967295" verticalDpi="4294967295"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9B020-4580-43C3-BDFC-3AB56F58CE3E}">
  <sheetPr codeName="Sheet4"/>
  <dimension ref="A1:BH28"/>
  <sheetViews>
    <sheetView zoomScaleNormal="100" workbookViewId="0"/>
  </sheetViews>
  <sheetFormatPr baseColWidth="10" defaultColWidth="9.5" defaultRowHeight="14"/>
  <cols>
    <col min="1" max="1" width="26.5" style="1" customWidth="1"/>
    <col min="2" max="2" width="19.83203125" style="1" customWidth="1"/>
    <col min="3" max="13" width="10.1640625" style="1" bestFit="1" customWidth="1"/>
    <col min="14" max="14" width="7.33203125" style="1" bestFit="1" customWidth="1"/>
    <col min="15" max="15" width="9.5" style="1" customWidth="1"/>
    <col min="16" max="16" width="12.5" style="1" customWidth="1"/>
    <col min="17" max="17" width="9.83203125" style="1" bestFit="1" customWidth="1"/>
    <col min="18" max="18" width="10.5" style="1" customWidth="1"/>
    <col min="19" max="22" width="9.5" style="1" bestFit="1" customWidth="1"/>
    <col min="23" max="26" width="10.5" style="1" bestFit="1" customWidth="1"/>
    <col min="27" max="16384" width="9.5" style="1"/>
  </cols>
  <sheetData>
    <row r="1" spans="1:60">
      <c r="A1" s="55" t="s">
        <v>307</v>
      </c>
      <c r="B1" s="115"/>
      <c r="C1" s="115"/>
      <c r="D1" s="115"/>
      <c r="E1" s="115"/>
      <c r="F1" s="115"/>
      <c r="G1" s="115"/>
      <c r="H1" s="115"/>
      <c r="I1" s="115"/>
      <c r="J1" s="115"/>
      <c r="K1" s="115"/>
      <c r="L1" s="115"/>
      <c r="M1" s="115"/>
      <c r="N1" s="115"/>
      <c r="O1" s="115"/>
      <c r="P1" s="4"/>
      <c r="Q1" s="4"/>
      <c r="R1" s="177"/>
    </row>
    <row r="2" spans="1:60">
      <c r="A2" s="233" t="s">
        <v>308</v>
      </c>
      <c r="B2" s="115"/>
      <c r="C2" s="115"/>
      <c r="D2" s="115"/>
      <c r="E2" s="115"/>
      <c r="F2" s="115"/>
      <c r="G2" s="115"/>
      <c r="H2" s="115"/>
      <c r="I2" s="115"/>
      <c r="J2" s="115"/>
      <c r="K2" s="115"/>
      <c r="L2" s="115"/>
      <c r="M2" s="115"/>
      <c r="N2" s="115"/>
      <c r="O2" s="115"/>
      <c r="P2" s="4"/>
      <c r="Q2" s="4"/>
      <c r="R2" s="177"/>
    </row>
    <row r="3" spans="1:60">
      <c r="A3" s="73"/>
      <c r="B3" s="73"/>
      <c r="C3" s="73"/>
      <c r="D3" s="73"/>
      <c r="E3" s="73"/>
      <c r="F3" s="73"/>
      <c r="G3" s="73"/>
      <c r="H3" s="73"/>
      <c r="I3" s="73"/>
      <c r="J3" s="73"/>
      <c r="K3" s="73"/>
      <c r="L3" s="73"/>
      <c r="M3" s="73"/>
      <c r="N3" s="73"/>
      <c r="O3" s="73"/>
      <c r="P3" s="177"/>
      <c r="Q3" s="177"/>
      <c r="R3" s="177"/>
    </row>
    <row r="4" spans="1:60">
      <c r="A4" s="73"/>
      <c r="B4" s="73"/>
      <c r="C4" s="73"/>
      <c r="D4" s="73"/>
      <c r="E4" s="73"/>
      <c r="F4" s="73"/>
      <c r="G4" s="73"/>
      <c r="H4" s="73"/>
      <c r="I4" s="73"/>
      <c r="J4" s="73"/>
      <c r="K4" s="73"/>
      <c r="L4" s="73"/>
      <c r="M4" s="73"/>
      <c r="N4" s="73"/>
      <c r="O4" s="73"/>
      <c r="P4" s="177"/>
      <c r="Q4" s="177"/>
      <c r="R4" s="177"/>
    </row>
    <row r="5" spans="1:60">
      <c r="A5" s="57" t="s">
        <v>107</v>
      </c>
      <c r="B5" s="115"/>
      <c r="C5" s="115"/>
      <c r="D5" s="115"/>
      <c r="E5" s="115"/>
      <c r="F5" s="115"/>
      <c r="G5" s="115"/>
      <c r="H5" s="115"/>
      <c r="I5" s="115"/>
      <c r="J5" s="115"/>
      <c r="K5" s="115"/>
      <c r="L5" s="115"/>
      <c r="M5" s="73"/>
      <c r="N5" s="76"/>
      <c r="O5" s="76"/>
      <c r="P5" s="178"/>
      <c r="Q5" s="177"/>
      <c r="R5" s="177"/>
    </row>
    <row r="6" spans="1:60">
      <c r="A6" s="179" t="s">
        <v>3</v>
      </c>
      <c r="B6" s="70"/>
      <c r="C6" s="70"/>
      <c r="D6" s="70"/>
      <c r="E6" s="70"/>
      <c r="F6" s="70"/>
      <c r="G6" s="70"/>
      <c r="H6" s="70"/>
      <c r="I6" s="70"/>
      <c r="J6" s="70"/>
      <c r="K6" s="70"/>
      <c r="L6" s="70"/>
      <c r="M6" s="70"/>
      <c r="N6" s="70"/>
      <c r="O6" s="70"/>
      <c r="P6" s="7"/>
      <c r="Q6" s="8"/>
      <c r="R6" s="8"/>
    </row>
    <row r="7" spans="1:60">
      <c r="A7" s="116"/>
      <c r="B7" s="73"/>
      <c r="C7" s="73"/>
      <c r="D7" s="73"/>
      <c r="E7" s="73"/>
      <c r="F7" s="73"/>
      <c r="G7" s="73"/>
      <c r="H7" s="73"/>
      <c r="I7" s="73"/>
      <c r="J7" s="73"/>
      <c r="K7" s="73"/>
      <c r="L7" s="73"/>
      <c r="M7" s="73"/>
      <c r="N7" s="73"/>
      <c r="O7" s="73"/>
      <c r="P7" s="7"/>
      <c r="Q7" s="8"/>
      <c r="R7" s="8"/>
    </row>
    <row r="8" spans="1:60">
      <c r="A8" s="117"/>
      <c r="B8" s="117"/>
      <c r="C8" s="117"/>
      <c r="D8" s="117"/>
      <c r="E8" s="117"/>
      <c r="F8" s="117"/>
      <c r="G8" s="117"/>
      <c r="H8" s="117"/>
      <c r="I8" s="117"/>
      <c r="J8" s="117"/>
      <c r="K8" s="117"/>
      <c r="L8" s="117"/>
      <c r="M8" s="117"/>
      <c r="N8" s="250" t="s">
        <v>4</v>
      </c>
      <c r="O8" s="250"/>
      <c r="P8" s="7"/>
      <c r="Q8" s="177"/>
      <c r="R8" s="177"/>
    </row>
    <row r="9" spans="1:60" ht="30" customHeight="1">
      <c r="A9" s="240"/>
      <c r="B9" s="54" t="s">
        <v>6</v>
      </c>
      <c r="C9" s="179">
        <v>2026</v>
      </c>
      <c r="D9" s="179">
        <v>2027</v>
      </c>
      <c r="E9" s="179">
        <v>2028</v>
      </c>
      <c r="F9" s="179">
        <v>2029</v>
      </c>
      <c r="G9" s="179">
        <v>2030</v>
      </c>
      <c r="H9" s="179">
        <v>2031</v>
      </c>
      <c r="I9" s="179">
        <v>2032</v>
      </c>
      <c r="J9" s="179">
        <v>2033</v>
      </c>
      <c r="K9" s="179">
        <v>2034</v>
      </c>
      <c r="L9" s="179">
        <v>2035</v>
      </c>
      <c r="M9" s="179">
        <v>2036</v>
      </c>
      <c r="N9" s="135" t="s">
        <v>7</v>
      </c>
      <c r="O9" s="135" t="s">
        <v>8</v>
      </c>
      <c r="P9" s="7"/>
      <c r="Q9" s="54"/>
      <c r="R9" s="179"/>
      <c r="S9" s="179"/>
      <c r="T9" s="179"/>
      <c r="U9" s="179"/>
      <c r="V9" s="179"/>
      <c r="W9" s="179"/>
      <c r="X9" s="179"/>
      <c r="Y9" s="179"/>
      <c r="Z9" s="179"/>
      <c r="AA9" s="179"/>
      <c r="AB9" s="179"/>
      <c r="AC9" s="135"/>
      <c r="AD9" s="135"/>
      <c r="AF9" s="54"/>
      <c r="AG9" s="179"/>
      <c r="AH9" s="179"/>
      <c r="AI9" s="179"/>
      <c r="AJ9" s="179"/>
      <c r="AK9" s="179"/>
      <c r="AL9" s="179"/>
      <c r="AM9" s="179"/>
      <c r="AN9" s="179"/>
      <c r="AO9" s="179"/>
      <c r="AP9" s="179"/>
      <c r="AQ9" s="179"/>
      <c r="AR9" s="135"/>
      <c r="AS9" s="135"/>
      <c r="AU9" s="54"/>
      <c r="AV9" s="179"/>
      <c r="AW9" s="179"/>
      <c r="AX9" s="179"/>
      <c r="AY9" s="179"/>
      <c r="AZ9" s="179"/>
      <c r="BA9" s="179"/>
      <c r="BB9" s="179"/>
      <c r="BC9" s="179"/>
      <c r="BD9" s="179"/>
      <c r="BE9" s="179"/>
      <c r="BF9" s="179"/>
      <c r="BG9" s="135"/>
      <c r="BH9" s="135"/>
    </row>
    <row r="10" spans="1:60">
      <c r="A10" s="177" t="s">
        <v>108</v>
      </c>
      <c r="B10" s="241">
        <v>1283.7360000000001</v>
      </c>
      <c r="C10" s="241">
        <v>1350.4449999999999</v>
      </c>
      <c r="D10" s="241">
        <v>1403.711</v>
      </c>
      <c r="E10" s="241">
        <v>1457.5940000000001</v>
      </c>
      <c r="F10" s="241">
        <v>1515.623</v>
      </c>
      <c r="G10" s="241">
        <v>1575.9949999999999</v>
      </c>
      <c r="H10" s="241">
        <v>1637.6949999999999</v>
      </c>
      <c r="I10" s="241">
        <v>1699.3889999999999</v>
      </c>
      <c r="J10" s="241">
        <v>1762.048</v>
      </c>
      <c r="K10" s="241">
        <v>1825.8630000000001</v>
      </c>
      <c r="L10" s="241">
        <v>1892.0219999999999</v>
      </c>
      <c r="M10" s="241">
        <v>1960.66</v>
      </c>
      <c r="N10" s="2">
        <v>7590.6180000000004</v>
      </c>
      <c r="O10" s="2">
        <v>16730.600999999999</v>
      </c>
      <c r="P10" s="220"/>
      <c r="Q10" s="220"/>
      <c r="R10" s="220"/>
      <c r="S10" s="220"/>
      <c r="T10" s="220"/>
      <c r="U10" s="220"/>
      <c r="V10" s="220"/>
      <c r="W10" s="220"/>
      <c r="X10" s="220"/>
      <c r="Y10" s="220"/>
      <c r="Z10" s="220"/>
      <c r="AA10" s="220"/>
      <c r="AB10" s="220"/>
      <c r="AC10" s="220"/>
      <c r="AD10" s="220"/>
      <c r="AF10" s="220"/>
      <c r="AG10" s="220"/>
      <c r="AH10" s="220"/>
      <c r="AI10" s="220"/>
      <c r="AJ10" s="220"/>
      <c r="AK10" s="220"/>
      <c r="AL10" s="220"/>
      <c r="AM10" s="220"/>
      <c r="AN10" s="220"/>
      <c r="AO10" s="220"/>
      <c r="AP10" s="220"/>
      <c r="AQ10" s="220"/>
      <c r="AR10" s="220"/>
      <c r="AS10" s="220"/>
      <c r="AU10" s="220"/>
      <c r="AV10" s="220"/>
      <c r="AW10" s="220"/>
      <c r="AX10" s="220"/>
      <c r="AY10" s="220"/>
      <c r="AZ10" s="220"/>
      <c r="BA10" s="220"/>
      <c r="BB10" s="220"/>
      <c r="BC10" s="220"/>
      <c r="BD10" s="220"/>
      <c r="BE10" s="220"/>
      <c r="BF10" s="220"/>
      <c r="BG10" s="220"/>
      <c r="BH10" s="220"/>
    </row>
    <row r="11" spans="1:60">
      <c r="A11" s="177" t="s">
        <v>109</v>
      </c>
      <c r="B11" s="241">
        <v>395.35</v>
      </c>
      <c r="C11" s="241">
        <v>414.87599999999998</v>
      </c>
      <c r="D11" s="241">
        <v>433.745</v>
      </c>
      <c r="E11" s="241">
        <v>453.21100000000001</v>
      </c>
      <c r="F11" s="241">
        <v>472.80500000000001</v>
      </c>
      <c r="G11" s="241">
        <v>492.96199999999999</v>
      </c>
      <c r="H11" s="241">
        <v>513.31399999999996</v>
      </c>
      <c r="I11" s="241">
        <v>534.04100000000005</v>
      </c>
      <c r="J11" s="241">
        <v>555.27200000000005</v>
      </c>
      <c r="K11" s="241">
        <v>577.18299999999999</v>
      </c>
      <c r="L11" s="241">
        <v>599.97799999999995</v>
      </c>
      <c r="M11" s="241">
        <v>623.69299999999998</v>
      </c>
      <c r="N11" s="2">
        <v>2366.0360000000001</v>
      </c>
      <c r="O11" s="2">
        <v>5256.2039999999997</v>
      </c>
      <c r="P11" s="220"/>
      <c r="Q11" s="220"/>
      <c r="R11" s="220"/>
      <c r="S11" s="220"/>
      <c r="T11" s="220"/>
      <c r="U11" s="220"/>
      <c r="V11" s="220"/>
      <c r="W11" s="220"/>
      <c r="X11" s="220"/>
      <c r="Y11" s="220"/>
      <c r="Z11" s="220"/>
      <c r="AA11" s="220"/>
      <c r="AB11" s="220"/>
      <c r="AC11" s="220"/>
      <c r="AD11" s="220"/>
      <c r="AF11" s="220"/>
      <c r="AG11" s="220"/>
      <c r="AH11" s="220"/>
      <c r="AI11" s="220"/>
      <c r="AJ11" s="220"/>
      <c r="AK11" s="220"/>
      <c r="AL11" s="220"/>
      <c r="AM11" s="220"/>
      <c r="AN11" s="220"/>
      <c r="AO11" s="220"/>
      <c r="AP11" s="220"/>
      <c r="AQ11" s="220"/>
      <c r="AR11" s="220"/>
      <c r="AS11" s="220"/>
      <c r="AU11" s="220"/>
      <c r="AV11" s="220"/>
      <c r="AW11" s="220"/>
      <c r="AX11" s="220"/>
      <c r="AY11" s="220"/>
      <c r="AZ11" s="220"/>
      <c r="BA11" s="220"/>
      <c r="BB11" s="220"/>
      <c r="BC11" s="220"/>
      <c r="BD11" s="220"/>
      <c r="BE11" s="220"/>
      <c r="BF11" s="220"/>
      <c r="BG11" s="220"/>
      <c r="BH11" s="220"/>
    </row>
    <row r="12" spans="1:60">
      <c r="A12" s="177" t="s">
        <v>110</v>
      </c>
      <c r="B12" s="241">
        <v>54.048999999999999</v>
      </c>
      <c r="C12" s="241">
        <v>44.768000000000001</v>
      </c>
      <c r="D12" s="241">
        <v>43.023000000000003</v>
      </c>
      <c r="E12" s="241">
        <v>42.4</v>
      </c>
      <c r="F12" s="241">
        <v>42.298000000000002</v>
      </c>
      <c r="G12" s="241">
        <v>44.085999999999999</v>
      </c>
      <c r="H12" s="241">
        <v>46.011000000000003</v>
      </c>
      <c r="I12" s="241">
        <v>48.052999999999997</v>
      </c>
      <c r="J12" s="241">
        <v>50.372999999999998</v>
      </c>
      <c r="K12" s="241">
        <v>52.765999999999998</v>
      </c>
      <c r="L12" s="241">
        <v>55.271999999999998</v>
      </c>
      <c r="M12" s="241">
        <v>58.078000000000003</v>
      </c>
      <c r="N12" s="2">
        <v>217.81800000000001</v>
      </c>
      <c r="O12" s="2">
        <v>482.36099999999999</v>
      </c>
      <c r="P12" s="220"/>
      <c r="Q12" s="220"/>
      <c r="R12" s="220"/>
      <c r="S12" s="220"/>
      <c r="T12" s="220"/>
      <c r="U12" s="220"/>
      <c r="V12" s="220"/>
      <c r="W12" s="220"/>
      <c r="X12" s="220"/>
      <c r="Y12" s="220"/>
      <c r="Z12" s="220"/>
      <c r="AA12" s="220"/>
      <c r="AB12" s="220"/>
      <c r="AC12" s="220"/>
      <c r="AD12" s="220"/>
      <c r="AF12" s="220"/>
      <c r="AG12" s="220"/>
      <c r="AH12" s="220"/>
      <c r="AI12" s="220"/>
      <c r="AJ12" s="220"/>
      <c r="AK12" s="220"/>
      <c r="AL12" s="220"/>
      <c r="AM12" s="220"/>
      <c r="AN12" s="220"/>
      <c r="AO12" s="220"/>
      <c r="AP12" s="220"/>
      <c r="AQ12" s="220"/>
      <c r="AR12" s="220"/>
      <c r="AS12" s="220"/>
      <c r="AU12" s="220"/>
      <c r="AV12" s="220"/>
      <c r="AW12" s="220"/>
      <c r="AX12" s="220"/>
      <c r="AY12" s="220"/>
      <c r="AZ12" s="220"/>
      <c r="BA12" s="220"/>
      <c r="BB12" s="220"/>
      <c r="BC12" s="220"/>
      <c r="BD12" s="220"/>
      <c r="BE12" s="220"/>
      <c r="BF12" s="220"/>
      <c r="BG12" s="220"/>
      <c r="BH12" s="220"/>
    </row>
    <row r="13" spans="1:60">
      <c r="A13" s="177" t="s">
        <v>111</v>
      </c>
      <c r="B13" s="241">
        <v>6.5460000000000003</v>
      </c>
      <c r="C13" s="241">
        <v>6.649</v>
      </c>
      <c r="D13" s="241">
        <v>6.7469999999999999</v>
      </c>
      <c r="E13" s="241">
        <v>6.8419999999999996</v>
      </c>
      <c r="F13" s="241">
        <v>6.9379999999999997</v>
      </c>
      <c r="G13" s="241">
        <v>7.016</v>
      </c>
      <c r="H13" s="241">
        <v>7.0810000000000004</v>
      </c>
      <c r="I13" s="241">
        <v>7.1449999999999996</v>
      </c>
      <c r="J13" s="241">
        <v>7.1959999999999997</v>
      </c>
      <c r="K13" s="241">
        <v>7.4320000000000004</v>
      </c>
      <c r="L13" s="241">
        <v>7.5410000000000004</v>
      </c>
      <c r="M13" s="241">
        <v>7.6520000000000001</v>
      </c>
      <c r="N13" s="2">
        <v>34.624000000000002</v>
      </c>
      <c r="O13" s="2">
        <v>71.59</v>
      </c>
      <c r="P13" s="220"/>
      <c r="Q13" s="220"/>
      <c r="R13" s="220"/>
      <c r="S13" s="220"/>
      <c r="T13" s="220"/>
      <c r="U13" s="220"/>
      <c r="V13" s="220"/>
      <c r="W13" s="220"/>
      <c r="X13" s="220"/>
      <c r="Y13" s="220"/>
      <c r="Z13" s="220"/>
      <c r="AA13" s="220"/>
      <c r="AB13" s="220"/>
      <c r="AC13" s="220"/>
      <c r="AD13" s="220"/>
      <c r="AF13" s="220"/>
      <c r="AG13" s="220"/>
      <c r="AH13" s="220"/>
      <c r="AI13" s="220"/>
      <c r="AJ13" s="220"/>
      <c r="AK13" s="220"/>
      <c r="AL13" s="220"/>
      <c r="AM13" s="220"/>
      <c r="AN13" s="220"/>
      <c r="AO13" s="220"/>
      <c r="AP13" s="220"/>
      <c r="AQ13" s="220"/>
      <c r="AR13" s="220"/>
      <c r="AS13" s="220"/>
      <c r="AU13" s="220"/>
      <c r="AV13" s="220"/>
      <c r="AW13" s="220"/>
      <c r="AX13" s="220"/>
      <c r="AY13" s="220"/>
      <c r="AZ13" s="220"/>
      <c r="BA13" s="220"/>
      <c r="BB13" s="220"/>
      <c r="BC13" s="220"/>
      <c r="BD13" s="220"/>
      <c r="BE13" s="220"/>
      <c r="BF13" s="220"/>
      <c r="BG13" s="220"/>
      <c r="BH13" s="220"/>
    </row>
    <row r="14" spans="1:60">
      <c r="A14" s="177" t="s">
        <v>310</v>
      </c>
      <c r="B14" s="230">
        <v>8.6140000000000008</v>
      </c>
      <c r="C14" s="230">
        <v>8.8350000000000009</v>
      </c>
      <c r="D14" s="230">
        <v>9.4390000000000001</v>
      </c>
      <c r="E14" s="230">
        <v>10.113</v>
      </c>
      <c r="F14" s="230">
        <v>10.802</v>
      </c>
      <c r="G14" s="230">
        <v>11.499000000000001</v>
      </c>
      <c r="H14" s="230">
        <v>12.204000000000001</v>
      </c>
      <c r="I14" s="230">
        <v>12.928000000000001</v>
      </c>
      <c r="J14" s="230">
        <v>13.673</v>
      </c>
      <c r="K14" s="230">
        <v>14.428000000000001</v>
      </c>
      <c r="L14" s="230">
        <v>15.196</v>
      </c>
      <c r="M14" s="230">
        <v>15.981999999999999</v>
      </c>
      <c r="N14" s="196">
        <v>54.057000000000002</v>
      </c>
      <c r="O14" s="196">
        <v>126.264</v>
      </c>
      <c r="P14" s="220"/>
      <c r="Q14" s="220"/>
      <c r="R14" s="220"/>
      <c r="S14" s="220"/>
      <c r="T14" s="220"/>
      <c r="U14" s="220"/>
      <c r="V14" s="220"/>
      <c r="W14" s="220"/>
      <c r="X14" s="220"/>
      <c r="Y14" s="220"/>
      <c r="Z14" s="220"/>
      <c r="AA14" s="220"/>
      <c r="AB14" s="220"/>
      <c r="AC14" s="220"/>
      <c r="AD14" s="220"/>
      <c r="AF14" s="220"/>
      <c r="AG14" s="220"/>
      <c r="AH14" s="220"/>
      <c r="AI14" s="220"/>
      <c r="AJ14" s="220"/>
      <c r="AK14" s="220"/>
      <c r="AL14" s="220"/>
      <c r="AM14" s="220"/>
      <c r="AN14" s="220"/>
      <c r="AO14" s="220"/>
      <c r="AP14" s="220"/>
      <c r="AQ14" s="220"/>
      <c r="AR14" s="220"/>
      <c r="AS14" s="220"/>
      <c r="AU14" s="220"/>
      <c r="AV14" s="220"/>
      <c r="AW14" s="220"/>
      <c r="AX14" s="220"/>
      <c r="AY14" s="220"/>
      <c r="AZ14" s="220"/>
      <c r="BA14" s="220"/>
      <c r="BB14" s="220"/>
      <c r="BC14" s="220"/>
      <c r="BD14" s="220"/>
      <c r="BE14" s="220"/>
      <c r="BF14" s="220"/>
      <c r="BG14" s="220"/>
      <c r="BH14" s="220"/>
    </row>
    <row r="15" spans="1:60">
      <c r="A15" s="143" t="s">
        <v>112</v>
      </c>
      <c r="B15" s="18">
        <v>1748.2940000000001</v>
      </c>
      <c r="C15" s="18">
        <v>1825.5730000000001</v>
      </c>
      <c r="D15" s="18">
        <v>1896.664</v>
      </c>
      <c r="E15" s="18">
        <v>1970.1610000000001</v>
      </c>
      <c r="F15" s="18">
        <v>2048.4659999999999</v>
      </c>
      <c r="G15" s="18">
        <v>2131.5569999999998</v>
      </c>
      <c r="H15" s="18">
        <v>2216.3049999999998</v>
      </c>
      <c r="I15" s="18">
        <v>2301.556</v>
      </c>
      <c r="J15" s="18">
        <v>2388.5619999999999</v>
      </c>
      <c r="K15" s="18">
        <v>2477.672</v>
      </c>
      <c r="L15" s="18">
        <v>2570.009</v>
      </c>
      <c r="M15" s="18">
        <v>2666.0659999999998</v>
      </c>
      <c r="N15" s="18">
        <v>10263.154</v>
      </c>
      <c r="O15" s="18">
        <v>22667.02</v>
      </c>
      <c r="P15" s="220"/>
      <c r="Q15" s="220"/>
      <c r="R15" s="220"/>
      <c r="S15" s="220"/>
      <c r="T15" s="220"/>
      <c r="U15" s="220"/>
      <c r="V15" s="220"/>
      <c r="W15" s="220"/>
      <c r="X15" s="220"/>
      <c r="Y15" s="220"/>
      <c r="Z15" s="220"/>
      <c r="AA15" s="220"/>
      <c r="AB15" s="220"/>
      <c r="AC15" s="220"/>
      <c r="AD15" s="220"/>
      <c r="AF15" s="220"/>
      <c r="AG15" s="220"/>
      <c r="AH15" s="220"/>
      <c r="AI15" s="220"/>
      <c r="AJ15" s="220"/>
      <c r="AK15" s="220"/>
      <c r="AL15" s="220"/>
      <c r="AM15" s="220"/>
      <c r="AN15" s="220"/>
      <c r="AO15" s="220"/>
      <c r="AP15" s="220"/>
      <c r="AQ15" s="220"/>
      <c r="AR15" s="220"/>
      <c r="AS15" s="220"/>
      <c r="AU15" s="220"/>
      <c r="AV15" s="220"/>
      <c r="AW15" s="220"/>
      <c r="AX15" s="220"/>
      <c r="AY15" s="220"/>
      <c r="AZ15" s="220"/>
      <c r="BA15" s="220"/>
      <c r="BB15" s="220"/>
      <c r="BC15" s="220"/>
      <c r="BD15" s="220"/>
      <c r="BE15" s="220"/>
      <c r="BF15" s="220"/>
      <c r="BG15" s="220"/>
      <c r="BH15" s="220"/>
    </row>
    <row r="16" spans="1:60" ht="15" customHeight="1">
      <c r="A16" s="73"/>
      <c r="B16" s="131"/>
      <c r="C16" s="131"/>
      <c r="D16" s="131"/>
      <c r="E16" s="131"/>
      <c r="F16" s="131"/>
      <c r="G16" s="131"/>
      <c r="H16" s="131"/>
      <c r="I16" s="131"/>
      <c r="J16" s="131"/>
      <c r="K16" s="131"/>
      <c r="L16" s="131"/>
      <c r="M16" s="131"/>
      <c r="N16" s="131"/>
      <c r="O16" s="131"/>
      <c r="P16" s="221"/>
      <c r="Q16" s="221"/>
      <c r="R16" s="221"/>
      <c r="S16" s="221"/>
      <c r="T16" s="221"/>
      <c r="U16" s="221"/>
      <c r="V16" s="221"/>
      <c r="W16" s="221"/>
      <c r="X16" s="221"/>
      <c r="Y16" s="221"/>
      <c r="Z16" s="221"/>
    </row>
    <row r="17" spans="1:26">
      <c r="A17" s="239" t="s">
        <v>25</v>
      </c>
      <c r="B17" s="14"/>
      <c r="C17" s="14"/>
      <c r="D17" s="14"/>
      <c r="E17" s="14"/>
      <c r="F17" s="14"/>
      <c r="G17" s="14"/>
      <c r="H17" s="14"/>
      <c r="I17" s="14"/>
      <c r="J17" s="14"/>
      <c r="K17" s="14"/>
      <c r="L17" s="14"/>
      <c r="M17" s="14"/>
      <c r="P17" s="221"/>
      <c r="Q17" s="221"/>
      <c r="R17" s="221"/>
      <c r="S17" s="221"/>
      <c r="T17" s="221"/>
      <c r="U17" s="221"/>
      <c r="V17" s="221"/>
      <c r="W17" s="221"/>
      <c r="X17" s="221"/>
      <c r="Y17" s="221"/>
      <c r="Z17" s="221"/>
    </row>
    <row r="18" spans="1:26">
      <c r="B18" s="14"/>
      <c r="C18" s="14"/>
      <c r="D18" s="14"/>
      <c r="E18" s="14"/>
      <c r="F18" s="14"/>
      <c r="G18" s="14"/>
      <c r="H18" s="14"/>
      <c r="I18" s="14"/>
      <c r="J18" s="14"/>
      <c r="K18" s="14"/>
      <c r="L18" s="14"/>
      <c r="M18" s="14"/>
      <c r="P18" s="221"/>
      <c r="Q18" s="221"/>
      <c r="R18" s="221"/>
      <c r="S18" s="221"/>
      <c r="T18" s="221"/>
      <c r="U18" s="221"/>
      <c r="V18" s="221"/>
      <c r="W18" s="221"/>
      <c r="X18" s="221"/>
      <c r="Y18" s="221"/>
      <c r="Z18" s="221"/>
    </row>
    <row r="19" spans="1:26">
      <c r="B19" s="14"/>
      <c r="C19" s="14"/>
      <c r="D19" s="14"/>
      <c r="E19" s="14"/>
      <c r="F19" s="14"/>
      <c r="G19" s="14"/>
      <c r="H19" s="14"/>
      <c r="I19" s="14"/>
      <c r="J19" s="14"/>
      <c r="K19" s="14"/>
      <c r="L19" s="14"/>
      <c r="M19" s="14"/>
      <c r="N19" s="14"/>
      <c r="O19" s="14"/>
    </row>
    <row r="20" spans="1:26">
      <c r="B20" s="222"/>
      <c r="C20" s="222"/>
      <c r="D20" s="222"/>
      <c r="E20" s="222"/>
      <c r="F20" s="222"/>
      <c r="G20" s="222"/>
      <c r="H20" s="222"/>
      <c r="I20" s="222"/>
      <c r="J20" s="222"/>
      <c r="K20" s="222"/>
      <c r="L20" s="222"/>
      <c r="M20" s="222"/>
    </row>
    <row r="21" spans="1:26">
      <c r="B21" s="14"/>
      <c r="C21" s="14"/>
      <c r="D21" s="14"/>
      <c r="E21" s="14"/>
      <c r="F21" s="14"/>
      <c r="G21" s="14"/>
      <c r="H21" s="14"/>
      <c r="I21" s="14"/>
      <c r="J21" s="14"/>
      <c r="K21" s="14"/>
      <c r="L21" s="14"/>
      <c r="M21" s="14"/>
    </row>
    <row r="22" spans="1:26">
      <c r="B22" s="14"/>
      <c r="C22" s="14"/>
      <c r="D22" s="14"/>
      <c r="E22" s="14"/>
      <c r="F22" s="14"/>
      <c r="G22" s="14"/>
      <c r="H22" s="14"/>
      <c r="I22" s="14"/>
      <c r="J22" s="14"/>
      <c r="K22" s="14"/>
      <c r="L22" s="14"/>
      <c r="M22" s="14"/>
    </row>
    <row r="23" spans="1:26">
      <c r="B23" s="14"/>
      <c r="C23" s="14"/>
      <c r="D23" s="14"/>
      <c r="E23" s="14"/>
      <c r="F23" s="14"/>
      <c r="G23" s="14"/>
      <c r="H23" s="14"/>
      <c r="I23" s="14"/>
      <c r="J23" s="14"/>
      <c r="K23" s="14"/>
      <c r="L23" s="14"/>
      <c r="M23" s="14"/>
    </row>
    <row r="24" spans="1:26">
      <c r="B24" s="14"/>
      <c r="C24" s="14"/>
      <c r="D24" s="14"/>
      <c r="E24" s="14"/>
      <c r="F24" s="14"/>
      <c r="G24" s="14"/>
      <c r="H24" s="14"/>
      <c r="I24" s="14"/>
      <c r="J24" s="14"/>
      <c r="K24" s="14"/>
      <c r="L24" s="14"/>
      <c r="M24" s="14"/>
    </row>
    <row r="25" spans="1:26">
      <c r="B25" s="14"/>
      <c r="C25" s="14"/>
      <c r="D25" s="14"/>
      <c r="E25" s="14"/>
      <c r="F25" s="14"/>
      <c r="G25" s="14"/>
      <c r="H25" s="14"/>
      <c r="I25" s="14"/>
      <c r="J25" s="14"/>
      <c r="K25" s="14"/>
      <c r="L25" s="14"/>
      <c r="M25" s="14"/>
    </row>
    <row r="26" spans="1:26">
      <c r="B26" s="3"/>
      <c r="C26" s="3"/>
      <c r="D26" s="3"/>
      <c r="E26" s="3"/>
      <c r="F26" s="3"/>
      <c r="G26" s="3"/>
      <c r="H26" s="3"/>
      <c r="I26" s="3"/>
      <c r="J26" s="3"/>
      <c r="K26" s="3"/>
      <c r="L26" s="3"/>
      <c r="M26" s="3"/>
    </row>
    <row r="28" spans="1:26">
      <c r="B28" s="14"/>
      <c r="C28" s="14"/>
      <c r="D28" s="14"/>
      <c r="E28" s="14"/>
      <c r="F28" s="14"/>
      <c r="G28" s="14"/>
      <c r="H28" s="14"/>
      <c r="I28" s="14"/>
      <c r="J28" s="14"/>
      <c r="K28" s="14"/>
      <c r="L28" s="14"/>
      <c r="M28" s="14"/>
    </row>
  </sheetData>
  <mergeCells count="1">
    <mergeCell ref="N8:O8"/>
  </mergeCells>
  <hyperlinks>
    <hyperlink ref="A17" location="Contents!A1" display="Back to Table of Contents" xr:uid="{FACE6D5E-8947-41FF-BE95-8C8A9F309A1A}"/>
    <hyperlink ref="A2" r:id="rId1" xr:uid="{D1B3F288-5B7B-284F-B547-B2A226002EAC}"/>
  </hyperlinks>
  <pageMargins left="0.7" right="0.7" top="0.75" bottom="0.75" header="0.3" footer="0.3"/>
  <pageSetup orientation="portrait" horizontalDpi="4294967295" verticalDpi="4294967295"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pageSetUpPr fitToPage="1"/>
  </sheetPr>
  <dimension ref="A1:AB55"/>
  <sheetViews>
    <sheetView zoomScaleNormal="100" workbookViewId="0"/>
  </sheetViews>
  <sheetFormatPr baseColWidth="10" defaultColWidth="9.5" defaultRowHeight="14"/>
  <cols>
    <col min="1" max="1" width="52" style="1" customWidth="1"/>
    <col min="2" max="13" width="9.5" style="1" customWidth="1"/>
    <col min="14" max="14" width="10.5" style="1" customWidth="1"/>
    <col min="15" max="27" width="9.5" style="1"/>
    <col min="28" max="28" width="10.5" style="1" customWidth="1"/>
    <col min="29" max="16384" width="9.5" style="1"/>
  </cols>
  <sheetData>
    <row r="1" spans="1:28">
      <c r="A1" s="55" t="s">
        <v>307</v>
      </c>
      <c r="B1" s="73"/>
      <c r="C1" s="73"/>
      <c r="D1" s="73"/>
      <c r="E1" s="73"/>
      <c r="F1" s="73"/>
      <c r="G1" s="73"/>
      <c r="H1" s="73"/>
      <c r="I1" s="73"/>
      <c r="J1" s="73"/>
      <c r="K1" s="73"/>
      <c r="L1" s="73"/>
      <c r="M1" s="73"/>
      <c r="N1" s="73"/>
      <c r="O1" s="73"/>
    </row>
    <row r="2" spans="1:28">
      <c r="A2" s="233" t="s">
        <v>308</v>
      </c>
      <c r="B2" s="73"/>
      <c r="C2" s="73"/>
      <c r="D2" s="73"/>
      <c r="E2" s="73"/>
      <c r="F2" s="73"/>
      <c r="G2" s="73"/>
      <c r="H2" s="73"/>
      <c r="I2" s="73"/>
      <c r="J2" s="73"/>
      <c r="K2" s="73"/>
      <c r="L2" s="73"/>
      <c r="M2" s="73"/>
      <c r="N2" s="73"/>
      <c r="O2" s="73"/>
    </row>
    <row r="3" spans="1:28">
      <c r="A3" s="62"/>
      <c r="B3" s="73"/>
      <c r="C3" s="73"/>
      <c r="D3" s="73"/>
      <c r="E3" s="73"/>
      <c r="F3" s="73"/>
      <c r="G3" s="73"/>
      <c r="H3" s="73"/>
      <c r="I3" s="73"/>
      <c r="J3" s="73"/>
      <c r="K3" s="73"/>
      <c r="L3" s="73"/>
      <c r="M3" s="73"/>
      <c r="N3" s="73"/>
      <c r="O3" s="73"/>
    </row>
    <row r="4" spans="1:28">
      <c r="A4" s="62"/>
      <c r="B4" s="63"/>
      <c r="C4" s="63"/>
      <c r="D4" s="63"/>
      <c r="E4" s="63"/>
      <c r="F4" s="63"/>
      <c r="G4" s="63"/>
      <c r="H4" s="63"/>
      <c r="I4" s="63"/>
      <c r="J4" s="63"/>
      <c r="K4" s="63"/>
      <c r="L4" s="63"/>
      <c r="M4" s="63"/>
      <c r="N4" s="63"/>
      <c r="O4" s="73"/>
    </row>
    <row r="5" spans="1:28">
      <c r="A5" s="59" t="s">
        <v>113</v>
      </c>
      <c r="B5" s="64"/>
      <c r="C5" s="64"/>
      <c r="D5" s="64"/>
      <c r="E5" s="64"/>
      <c r="F5" s="64"/>
      <c r="G5" s="64"/>
      <c r="H5" s="64"/>
      <c r="I5" s="64"/>
      <c r="J5" s="64"/>
      <c r="K5" s="64"/>
      <c r="L5" s="64"/>
      <c r="M5" s="64"/>
      <c r="N5" s="64"/>
      <c r="O5" s="73"/>
    </row>
    <row r="6" spans="1:28">
      <c r="A6" s="137" t="s">
        <v>3</v>
      </c>
      <c r="B6" s="65"/>
      <c r="C6" s="65"/>
      <c r="D6" s="65"/>
      <c r="E6" s="65"/>
      <c r="F6" s="65"/>
      <c r="G6" s="65"/>
      <c r="H6" s="65"/>
      <c r="I6" s="65"/>
      <c r="J6" s="65"/>
      <c r="K6" s="65"/>
      <c r="L6" s="65"/>
      <c r="M6" s="65"/>
      <c r="N6" s="65"/>
      <c r="O6" s="73"/>
    </row>
    <row r="7" spans="1:28">
      <c r="A7" s="66"/>
      <c r="B7" s="66"/>
      <c r="C7" s="66"/>
      <c r="D7" s="66"/>
      <c r="E7" s="66"/>
      <c r="F7" s="66"/>
      <c r="G7" s="67"/>
      <c r="H7" s="67"/>
      <c r="I7" s="67"/>
      <c r="J7" s="67"/>
      <c r="K7" s="67"/>
      <c r="L7" s="67"/>
      <c r="M7" s="66"/>
      <c r="N7" s="66"/>
      <c r="O7" s="73"/>
    </row>
    <row r="8" spans="1:28">
      <c r="A8" s="68"/>
      <c r="B8" s="66"/>
      <c r="C8" s="66"/>
      <c r="D8" s="66"/>
      <c r="E8" s="66"/>
      <c r="F8" s="66"/>
      <c r="G8" s="66"/>
      <c r="H8" s="66"/>
      <c r="I8" s="66"/>
      <c r="J8" s="66"/>
      <c r="K8" s="66"/>
      <c r="L8" s="66"/>
      <c r="M8" s="250" t="s">
        <v>4</v>
      </c>
      <c r="N8" s="250"/>
      <c r="O8" s="73"/>
    </row>
    <row r="9" spans="1:28" ht="30">
      <c r="A9" s="10" t="s">
        <v>5</v>
      </c>
      <c r="B9" s="179">
        <v>2026</v>
      </c>
      <c r="C9" s="179">
        <v>2027</v>
      </c>
      <c r="D9" s="179">
        <v>2028</v>
      </c>
      <c r="E9" s="179">
        <v>2029</v>
      </c>
      <c r="F9" s="179">
        <v>2030</v>
      </c>
      <c r="G9" s="179">
        <v>2031</v>
      </c>
      <c r="H9" s="179">
        <v>2032</v>
      </c>
      <c r="I9" s="179">
        <v>2033</v>
      </c>
      <c r="J9" s="179">
        <v>2034</v>
      </c>
      <c r="K9" s="179">
        <v>2035</v>
      </c>
      <c r="L9" s="179">
        <v>2036</v>
      </c>
      <c r="M9" s="135" t="s">
        <v>7</v>
      </c>
      <c r="N9" s="135" t="s">
        <v>8</v>
      </c>
      <c r="O9" s="73"/>
    </row>
    <row r="10" spans="1:28">
      <c r="A10" s="9" t="s">
        <v>14</v>
      </c>
      <c r="B10" s="71"/>
      <c r="C10" s="71"/>
      <c r="D10" s="71"/>
      <c r="E10" s="71"/>
      <c r="F10" s="71"/>
      <c r="G10" s="71"/>
      <c r="H10" s="71"/>
      <c r="I10" s="71"/>
      <c r="J10" s="71"/>
      <c r="K10" s="71"/>
      <c r="L10" s="71"/>
      <c r="M10" s="71"/>
      <c r="N10" s="71"/>
      <c r="O10" s="73"/>
    </row>
    <row r="11" spans="1:28">
      <c r="A11" s="138" t="s">
        <v>114</v>
      </c>
      <c r="B11" s="72"/>
      <c r="C11" s="72"/>
      <c r="D11" s="72"/>
      <c r="E11" s="72"/>
      <c r="F11" s="72"/>
      <c r="G11" s="72"/>
      <c r="H11" s="72"/>
      <c r="I11" s="72"/>
      <c r="J11" s="72"/>
      <c r="K11" s="72"/>
      <c r="L11" s="72"/>
      <c r="M11" s="72"/>
      <c r="N11" s="72"/>
      <c r="O11" s="73"/>
    </row>
    <row r="12" spans="1:28">
      <c r="A12" s="139" t="s">
        <v>115</v>
      </c>
      <c r="B12" s="74"/>
      <c r="C12" s="74"/>
      <c r="D12" s="74"/>
      <c r="E12" s="74"/>
      <c r="F12" s="74"/>
      <c r="G12" s="74"/>
      <c r="H12" s="74"/>
      <c r="I12" s="74"/>
      <c r="J12" s="74"/>
      <c r="K12" s="74"/>
      <c r="L12" s="74"/>
      <c r="M12" s="74"/>
      <c r="N12" s="74"/>
      <c r="O12" s="73"/>
    </row>
    <row r="13" spans="1:28">
      <c r="A13" s="141" t="s">
        <v>116</v>
      </c>
      <c r="B13" s="162">
        <v>28.198</v>
      </c>
      <c r="C13" s="162">
        <v>28.591000000000001</v>
      </c>
      <c r="D13" s="162">
        <v>28.791</v>
      </c>
      <c r="E13" s="162">
        <v>28.891999999999999</v>
      </c>
      <c r="F13" s="162">
        <v>28.957999999999998</v>
      </c>
      <c r="G13" s="162">
        <v>29.01</v>
      </c>
      <c r="H13" s="162">
        <v>29.059000000000001</v>
      </c>
      <c r="I13" s="162">
        <v>29.113</v>
      </c>
      <c r="J13" s="162">
        <v>29.17</v>
      </c>
      <c r="K13" s="162">
        <v>29.236999999999998</v>
      </c>
      <c r="L13" s="162">
        <v>29.306999999999999</v>
      </c>
      <c r="M13" s="2">
        <v>144.24199999999999</v>
      </c>
      <c r="N13" s="162">
        <v>290.12800000000004</v>
      </c>
      <c r="O13" s="3"/>
      <c r="P13" s="61"/>
      <c r="Q13" s="61"/>
      <c r="R13" s="61"/>
      <c r="S13" s="61"/>
      <c r="T13" s="61"/>
      <c r="U13" s="61"/>
      <c r="V13" s="61"/>
      <c r="W13" s="61"/>
      <c r="X13" s="61"/>
      <c r="Y13" s="61"/>
      <c r="Z13" s="61"/>
      <c r="AA13" s="61"/>
      <c r="AB13" s="61"/>
    </row>
    <row r="14" spans="1:28">
      <c r="A14" s="141" t="s">
        <v>117</v>
      </c>
      <c r="B14" s="162">
        <v>10.494</v>
      </c>
      <c r="C14" s="162">
        <v>10.545999999999999</v>
      </c>
      <c r="D14" s="162">
        <v>10.612</v>
      </c>
      <c r="E14" s="162">
        <v>10.680999999999999</v>
      </c>
      <c r="F14" s="162">
        <v>10.753</v>
      </c>
      <c r="G14" s="162">
        <v>10.824999999999999</v>
      </c>
      <c r="H14" s="162">
        <v>10.898</v>
      </c>
      <c r="I14" s="162">
        <v>10.971</v>
      </c>
      <c r="J14" s="162">
        <v>11.045</v>
      </c>
      <c r="K14" s="162">
        <v>11.119</v>
      </c>
      <c r="L14" s="162">
        <v>11.194000000000001</v>
      </c>
      <c r="M14" s="2">
        <v>53.417000000000002</v>
      </c>
      <c r="N14" s="162">
        <v>108.64400000000001</v>
      </c>
      <c r="O14" s="3"/>
      <c r="P14" s="61"/>
      <c r="Q14" s="61"/>
      <c r="R14" s="61"/>
      <c r="S14" s="61"/>
      <c r="T14" s="61"/>
      <c r="U14" s="61"/>
      <c r="V14" s="61"/>
      <c r="W14" s="61"/>
      <c r="X14" s="61"/>
      <c r="Y14" s="61"/>
      <c r="Z14" s="61"/>
      <c r="AA14" s="61"/>
      <c r="AB14" s="61"/>
    </row>
    <row r="15" spans="1:28">
      <c r="A15" s="141" t="s">
        <v>118</v>
      </c>
      <c r="B15" s="162">
        <v>0.129</v>
      </c>
      <c r="C15" s="162">
        <v>0.13500000000000001</v>
      </c>
      <c r="D15" s="162">
        <v>0.13900000000000001</v>
      </c>
      <c r="E15" s="162">
        <v>0.14299999999999999</v>
      </c>
      <c r="F15" s="162">
        <v>0.14499999999999999</v>
      </c>
      <c r="G15" s="162">
        <v>0.14599999999999999</v>
      </c>
      <c r="H15" s="162">
        <v>0.14599999999999999</v>
      </c>
      <c r="I15" s="162">
        <v>0.14499999999999999</v>
      </c>
      <c r="J15" s="162">
        <v>0.14499999999999999</v>
      </c>
      <c r="K15" s="162">
        <v>0.14599999999999999</v>
      </c>
      <c r="L15" s="162">
        <v>0.14699999999999999</v>
      </c>
      <c r="M15" s="2">
        <v>0.70800000000000007</v>
      </c>
      <c r="N15" s="162">
        <v>1.4370000000000001</v>
      </c>
      <c r="O15" s="3"/>
      <c r="P15" s="61"/>
      <c r="Q15" s="61"/>
      <c r="R15" s="61"/>
      <c r="S15" s="61"/>
      <c r="T15" s="61"/>
      <c r="U15" s="61"/>
      <c r="V15" s="61"/>
      <c r="W15" s="61"/>
      <c r="X15" s="61"/>
      <c r="Y15" s="61"/>
      <c r="Z15" s="61"/>
      <c r="AA15" s="61"/>
      <c r="AB15" s="61"/>
    </row>
    <row r="16" spans="1:28">
      <c r="A16" s="141" t="s">
        <v>119</v>
      </c>
      <c r="B16" s="162">
        <v>5.9059999999999997</v>
      </c>
      <c r="C16" s="162">
        <v>6.1840000000000002</v>
      </c>
      <c r="D16" s="162">
        <v>6.4640000000000004</v>
      </c>
      <c r="E16" s="162">
        <v>6.74</v>
      </c>
      <c r="F16" s="162">
        <v>7.0129999999999999</v>
      </c>
      <c r="G16" s="162">
        <v>7.2919999999999998</v>
      </c>
      <c r="H16" s="162">
        <v>7.5880000000000001</v>
      </c>
      <c r="I16" s="162">
        <v>7.8979999999999997</v>
      </c>
      <c r="J16" s="162">
        <v>8.2189999999999994</v>
      </c>
      <c r="K16" s="162">
        <v>8.5530000000000008</v>
      </c>
      <c r="L16" s="162">
        <v>8.8989999999999991</v>
      </c>
      <c r="M16" s="2">
        <v>33.692999999999998</v>
      </c>
      <c r="N16" s="162">
        <v>74.850000000000009</v>
      </c>
      <c r="O16" s="3"/>
      <c r="P16" s="61"/>
      <c r="Q16" s="61"/>
      <c r="R16" s="61"/>
      <c r="S16" s="61"/>
      <c r="T16" s="61"/>
      <c r="U16" s="61"/>
      <c r="V16" s="61"/>
      <c r="W16" s="61"/>
      <c r="X16" s="61"/>
      <c r="Y16" s="61"/>
      <c r="Z16" s="61"/>
      <c r="AA16" s="61"/>
      <c r="AB16" s="61"/>
    </row>
    <row r="17" spans="1:28">
      <c r="A17" s="141" t="s">
        <v>120</v>
      </c>
      <c r="B17" s="162">
        <v>0.79</v>
      </c>
      <c r="C17" s="162">
        <v>0.80500000000000005</v>
      </c>
      <c r="D17" s="162">
        <v>0.82</v>
      </c>
      <c r="E17" s="162">
        <v>0.83399999999999996</v>
      </c>
      <c r="F17" s="162">
        <v>0.84899999999999998</v>
      </c>
      <c r="G17" s="162">
        <v>0.86399999999999999</v>
      </c>
      <c r="H17" s="162">
        <v>0.879</v>
      </c>
      <c r="I17" s="162">
        <v>0.89500000000000002</v>
      </c>
      <c r="J17" s="162">
        <v>0.91100000000000003</v>
      </c>
      <c r="K17" s="162">
        <v>0.92700000000000005</v>
      </c>
      <c r="L17" s="162">
        <v>0.94299999999999995</v>
      </c>
      <c r="M17" s="2">
        <v>4.1719999999999997</v>
      </c>
      <c r="N17" s="162">
        <v>8.7269999999999985</v>
      </c>
      <c r="O17" s="3"/>
      <c r="P17" s="61"/>
      <c r="Q17" s="61"/>
      <c r="R17" s="61"/>
      <c r="S17" s="61"/>
      <c r="T17" s="61"/>
      <c r="U17" s="61"/>
      <c r="V17" s="61"/>
      <c r="W17" s="61"/>
      <c r="X17" s="61"/>
      <c r="Y17" s="61"/>
      <c r="Z17" s="61"/>
      <c r="AA17" s="61"/>
      <c r="AB17" s="61"/>
    </row>
    <row r="18" spans="1:28">
      <c r="A18" s="141" t="s">
        <v>121</v>
      </c>
      <c r="B18" s="195">
        <v>1.7050000000000001</v>
      </c>
      <c r="C18" s="195">
        <v>1.7390000000000001</v>
      </c>
      <c r="D18" s="195">
        <v>1.77</v>
      </c>
      <c r="E18" s="195">
        <v>1.8009999999999999</v>
      </c>
      <c r="F18" s="195">
        <v>1.8340000000000001</v>
      </c>
      <c r="G18" s="195">
        <v>1.8660000000000001</v>
      </c>
      <c r="H18" s="195">
        <v>1.899</v>
      </c>
      <c r="I18" s="195">
        <v>1.9330000000000001</v>
      </c>
      <c r="J18" s="195">
        <v>1.9670000000000001</v>
      </c>
      <c r="K18" s="195">
        <v>2.0019999999999998</v>
      </c>
      <c r="L18" s="195">
        <v>2.0369999999999999</v>
      </c>
      <c r="M18" s="196">
        <v>9.01</v>
      </c>
      <c r="N18" s="195">
        <v>18.847999999999999</v>
      </c>
      <c r="O18" s="3"/>
      <c r="P18" s="61"/>
      <c r="Q18" s="61"/>
      <c r="R18" s="61"/>
      <c r="S18" s="61"/>
      <c r="T18" s="61"/>
      <c r="U18" s="61"/>
      <c r="V18" s="61"/>
      <c r="W18" s="61"/>
      <c r="X18" s="61"/>
      <c r="Y18" s="61"/>
      <c r="Z18" s="61"/>
      <c r="AA18" s="61"/>
      <c r="AB18" s="61"/>
    </row>
    <row r="19" spans="1:28">
      <c r="A19" s="142" t="s">
        <v>18</v>
      </c>
      <c r="B19" s="162">
        <v>47.222000000000001</v>
      </c>
      <c r="C19" s="162">
        <v>48</v>
      </c>
      <c r="D19" s="162">
        <v>48.595999999999997</v>
      </c>
      <c r="E19" s="162">
        <v>49.091999999999999</v>
      </c>
      <c r="F19" s="162">
        <v>49.552</v>
      </c>
      <c r="G19" s="162">
        <v>50.005000000000003</v>
      </c>
      <c r="H19" s="162">
        <v>50.47</v>
      </c>
      <c r="I19" s="162">
        <v>50.954999999999998</v>
      </c>
      <c r="J19" s="162">
        <v>51.457000000000001</v>
      </c>
      <c r="K19" s="162">
        <v>51.984000000000002</v>
      </c>
      <c r="L19" s="162">
        <v>52.527999999999999</v>
      </c>
      <c r="M19" s="2">
        <v>245.24499999999998</v>
      </c>
      <c r="N19" s="162">
        <v>502.63899999999995</v>
      </c>
      <c r="O19" s="3"/>
      <c r="P19" s="61"/>
      <c r="Q19" s="61"/>
      <c r="R19" s="61"/>
      <c r="S19" s="61"/>
      <c r="T19" s="61"/>
      <c r="U19" s="61"/>
      <c r="V19" s="61"/>
      <c r="W19" s="61"/>
      <c r="X19" s="61"/>
      <c r="Y19" s="61"/>
      <c r="Z19" s="61"/>
      <c r="AA19" s="61"/>
      <c r="AB19" s="61"/>
    </row>
    <row r="20" spans="1:28">
      <c r="A20" s="140" t="s">
        <v>122</v>
      </c>
      <c r="B20" s="162">
        <v>-1.1990000000000001</v>
      </c>
      <c r="C20" s="162">
        <v>-1.232</v>
      </c>
      <c r="D20" s="162">
        <v>-1.2490000000000001</v>
      </c>
      <c r="E20" s="162">
        <v>-1.258</v>
      </c>
      <c r="F20" s="162">
        <v>-1.262</v>
      </c>
      <c r="G20" s="162">
        <v>-1.2649999999999999</v>
      </c>
      <c r="H20" s="162">
        <v>-1.2669999999999999</v>
      </c>
      <c r="I20" s="162">
        <v>-1.2689999999999999</v>
      </c>
      <c r="J20" s="162">
        <v>-1.272</v>
      </c>
      <c r="K20" s="162">
        <v>-1.274</v>
      </c>
      <c r="L20" s="162">
        <v>-1.2769999999999999</v>
      </c>
      <c r="M20" s="2">
        <v>-6.2659999999999991</v>
      </c>
      <c r="N20" s="162">
        <v>-12.624999999999998</v>
      </c>
      <c r="O20" s="3"/>
      <c r="P20" s="61"/>
      <c r="Q20" s="61"/>
      <c r="R20" s="61"/>
      <c r="S20" s="61"/>
      <c r="T20" s="61"/>
      <c r="U20" s="61"/>
      <c r="V20" s="61"/>
      <c r="W20" s="61"/>
      <c r="X20" s="61"/>
      <c r="Y20" s="61"/>
      <c r="Z20" s="61"/>
      <c r="AA20" s="61"/>
      <c r="AB20" s="61"/>
    </row>
    <row r="21" spans="1:28">
      <c r="A21" s="140" t="s">
        <v>123</v>
      </c>
      <c r="B21" s="162">
        <v>0.19900000000000001</v>
      </c>
      <c r="C21" s="162">
        <v>0.20200000000000001</v>
      </c>
      <c r="D21" s="162">
        <v>0.20300000000000001</v>
      </c>
      <c r="E21" s="162">
        <v>0.20399999999999999</v>
      </c>
      <c r="F21" s="162">
        <v>0.20399999999999999</v>
      </c>
      <c r="G21" s="162">
        <v>0.20499999999999999</v>
      </c>
      <c r="H21" s="162">
        <v>0.20599999999999999</v>
      </c>
      <c r="I21" s="162">
        <v>0.20599999999999999</v>
      </c>
      <c r="J21" s="162">
        <v>0.20699999999999999</v>
      </c>
      <c r="K21" s="162">
        <v>0.20799999999999999</v>
      </c>
      <c r="L21" s="162">
        <v>0.20799999999999999</v>
      </c>
      <c r="M21" s="2">
        <v>1.018</v>
      </c>
      <c r="N21" s="162">
        <v>2.0529999999999999</v>
      </c>
      <c r="O21" s="3"/>
      <c r="P21" s="61"/>
      <c r="Q21" s="61"/>
      <c r="R21" s="61"/>
      <c r="S21" s="61"/>
      <c r="T21" s="61"/>
      <c r="U21" s="61"/>
      <c r="V21" s="61"/>
      <c r="W21" s="61"/>
      <c r="X21" s="61"/>
      <c r="Y21" s="61"/>
      <c r="Z21" s="61"/>
      <c r="AA21" s="61"/>
      <c r="AB21" s="61"/>
    </row>
    <row r="22" spans="1:28" s="16" customFormat="1">
      <c r="A22" s="199" t="s">
        <v>124</v>
      </c>
      <c r="B22" s="200">
        <v>46.222000000000001</v>
      </c>
      <c r="C22" s="200">
        <v>46.97</v>
      </c>
      <c r="D22" s="200">
        <v>47.55</v>
      </c>
      <c r="E22" s="200">
        <v>48.037999999999997</v>
      </c>
      <c r="F22" s="200">
        <v>48.494999999999997</v>
      </c>
      <c r="G22" s="200">
        <v>48.945</v>
      </c>
      <c r="H22" s="200">
        <v>49.408000000000001</v>
      </c>
      <c r="I22" s="200">
        <v>49.892000000000003</v>
      </c>
      <c r="J22" s="200">
        <v>50.392000000000003</v>
      </c>
      <c r="K22" s="200">
        <v>50.917000000000002</v>
      </c>
      <c r="L22" s="200">
        <v>51.459000000000003</v>
      </c>
      <c r="M22" s="201">
        <v>239.99799999999999</v>
      </c>
      <c r="N22" s="200">
        <v>492.06599999999997</v>
      </c>
      <c r="O22" s="202"/>
      <c r="P22" s="61"/>
      <c r="Q22" s="61"/>
      <c r="R22" s="61"/>
      <c r="S22" s="61"/>
      <c r="T22" s="61"/>
      <c r="U22" s="61"/>
      <c r="V22" s="61"/>
      <c r="W22" s="61"/>
      <c r="X22" s="61"/>
      <c r="Y22" s="61"/>
      <c r="Z22" s="61"/>
      <c r="AA22" s="220"/>
      <c r="AB22" s="220"/>
    </row>
    <row r="23" spans="1:28">
      <c r="A23" s="177"/>
      <c r="B23" s="132"/>
      <c r="C23" s="132"/>
      <c r="D23" s="132"/>
      <c r="E23" s="132"/>
      <c r="F23" s="132"/>
      <c r="G23" s="132"/>
      <c r="H23" s="132"/>
      <c r="I23" s="132"/>
      <c r="J23" s="132"/>
      <c r="K23" s="132"/>
      <c r="L23" s="132"/>
      <c r="M23" s="132"/>
      <c r="N23" s="132"/>
      <c r="O23" s="3"/>
    </row>
    <row r="24" spans="1:28">
      <c r="A24" s="138" t="s">
        <v>125</v>
      </c>
      <c r="B24" s="132"/>
      <c r="C24" s="132"/>
      <c r="D24" s="132"/>
      <c r="E24" s="132"/>
      <c r="F24" s="132"/>
      <c r="G24" s="132"/>
      <c r="H24" s="132"/>
      <c r="I24" s="132"/>
      <c r="J24" s="132"/>
      <c r="K24" s="132"/>
      <c r="L24" s="132"/>
      <c r="M24" s="132"/>
      <c r="N24" s="132"/>
      <c r="O24" s="3"/>
    </row>
    <row r="25" spans="1:28">
      <c r="A25" s="140" t="s">
        <v>126</v>
      </c>
      <c r="B25" s="163"/>
      <c r="C25" s="163"/>
      <c r="D25" s="163"/>
      <c r="E25" s="163"/>
      <c r="F25" s="163"/>
      <c r="G25" s="163"/>
      <c r="H25" s="163"/>
      <c r="I25" s="163"/>
      <c r="J25" s="163"/>
      <c r="K25" s="163"/>
      <c r="L25" s="163"/>
      <c r="M25" s="163"/>
      <c r="N25" s="163"/>
      <c r="O25" s="3"/>
    </row>
    <row r="26" spans="1:28">
      <c r="A26" s="141" t="s">
        <v>127</v>
      </c>
      <c r="B26" s="162">
        <v>13.827</v>
      </c>
      <c r="C26" s="162">
        <v>14.340999999999999</v>
      </c>
      <c r="D26" s="162">
        <v>14.843</v>
      </c>
      <c r="E26" s="162">
        <v>15.35</v>
      </c>
      <c r="F26" s="162">
        <v>15.875</v>
      </c>
      <c r="G26" s="162">
        <v>16.417999999999999</v>
      </c>
      <c r="H26" s="162">
        <v>16.977</v>
      </c>
      <c r="I26" s="162">
        <v>17.555</v>
      </c>
      <c r="J26" s="162">
        <v>18.154</v>
      </c>
      <c r="K26" s="162">
        <v>18.773</v>
      </c>
      <c r="L26" s="162">
        <v>19.414000000000001</v>
      </c>
      <c r="M26" s="61">
        <v>76.826999999999998</v>
      </c>
      <c r="N26" s="61">
        <v>167.7</v>
      </c>
      <c r="O26" s="3"/>
      <c r="P26" s="61"/>
      <c r="Q26" s="61"/>
      <c r="R26" s="61"/>
      <c r="S26" s="61"/>
      <c r="T26" s="61"/>
      <c r="U26" s="61"/>
      <c r="V26" s="61"/>
      <c r="W26" s="61"/>
      <c r="X26" s="61"/>
      <c r="Y26" s="61"/>
      <c r="Z26" s="61"/>
      <c r="AA26" s="61"/>
      <c r="AB26" s="61"/>
    </row>
    <row r="27" spans="1:28">
      <c r="A27" s="141" t="s">
        <v>128</v>
      </c>
      <c r="B27" s="162">
        <v>5.7629999999999999</v>
      </c>
      <c r="C27" s="162">
        <v>6.085</v>
      </c>
      <c r="D27" s="162">
        <v>6.3979999999999997</v>
      </c>
      <c r="E27" s="162">
        <v>6.7160000000000002</v>
      </c>
      <c r="F27" s="162">
        <v>7.0549999999999997</v>
      </c>
      <c r="G27" s="162">
        <v>7.4109999999999996</v>
      </c>
      <c r="H27" s="162">
        <v>7.7809999999999997</v>
      </c>
      <c r="I27" s="162">
        <v>8.17</v>
      </c>
      <c r="J27" s="162">
        <v>8.58</v>
      </c>
      <c r="K27" s="162">
        <v>9.0109999999999992</v>
      </c>
      <c r="L27" s="162">
        <v>9.4629999999999992</v>
      </c>
      <c r="M27" s="61">
        <v>33.664999999999999</v>
      </c>
      <c r="N27" s="61">
        <v>76.669999999999987</v>
      </c>
      <c r="O27" s="3"/>
      <c r="P27" s="61"/>
      <c r="Q27" s="61"/>
      <c r="R27" s="61"/>
      <c r="S27" s="61"/>
      <c r="T27" s="61"/>
      <c r="U27" s="61"/>
      <c r="V27" s="61"/>
      <c r="W27" s="61"/>
      <c r="X27" s="61"/>
      <c r="Y27" s="61"/>
      <c r="Z27" s="61"/>
      <c r="AA27" s="61"/>
      <c r="AB27" s="61"/>
    </row>
    <row r="28" spans="1:28">
      <c r="A28" s="141" t="s">
        <v>129</v>
      </c>
      <c r="B28" s="162">
        <v>0.77400000000000002</v>
      </c>
      <c r="C28" s="162">
        <v>0.78900000000000003</v>
      </c>
      <c r="D28" s="162">
        <v>0.80300000000000005</v>
      </c>
      <c r="E28" s="162">
        <v>0.81699999999999995</v>
      </c>
      <c r="F28" s="162">
        <v>0.83199999999999996</v>
      </c>
      <c r="G28" s="162">
        <v>0.84699999999999998</v>
      </c>
      <c r="H28" s="162">
        <v>0.86099999999999999</v>
      </c>
      <c r="I28" s="162">
        <v>0.877</v>
      </c>
      <c r="J28" s="162">
        <v>0.89200000000000002</v>
      </c>
      <c r="K28" s="162">
        <v>0.90800000000000003</v>
      </c>
      <c r="L28" s="162">
        <v>0.92400000000000004</v>
      </c>
      <c r="M28" s="61">
        <v>4.0879999999999992</v>
      </c>
      <c r="N28" s="61">
        <v>8.5499999999999989</v>
      </c>
      <c r="O28" s="3"/>
      <c r="P28" s="61"/>
      <c r="Q28" s="61"/>
      <c r="R28" s="61"/>
      <c r="S28" s="61"/>
      <c r="T28" s="61"/>
      <c r="U28" s="61"/>
      <c r="V28" s="61"/>
      <c r="W28" s="61"/>
      <c r="X28" s="61"/>
      <c r="Y28" s="61"/>
      <c r="Z28" s="61"/>
      <c r="AA28" s="61"/>
      <c r="AB28" s="61"/>
    </row>
    <row r="29" spans="1:28">
      <c r="A29" s="141" t="s">
        <v>130</v>
      </c>
      <c r="B29" s="162">
        <v>0.66400000000000003</v>
      </c>
      <c r="C29" s="162">
        <v>0.67700000000000005</v>
      </c>
      <c r="D29" s="162">
        <v>0.68899999999999995</v>
      </c>
      <c r="E29" s="162">
        <v>0.7</v>
      </c>
      <c r="F29" s="162">
        <v>0.71299999999999997</v>
      </c>
      <c r="G29" s="162">
        <v>0.72499999999999998</v>
      </c>
      <c r="H29" s="162">
        <v>0.73699999999999999</v>
      </c>
      <c r="I29" s="162">
        <v>0.75</v>
      </c>
      <c r="J29" s="162">
        <v>0.76300000000000001</v>
      </c>
      <c r="K29" s="162">
        <v>0.77600000000000002</v>
      </c>
      <c r="L29" s="162">
        <v>0.79</v>
      </c>
      <c r="M29" s="61">
        <v>3.504</v>
      </c>
      <c r="N29" s="61">
        <v>7.3199999999999994</v>
      </c>
      <c r="O29" s="3"/>
      <c r="P29" s="61"/>
      <c r="Q29" s="61"/>
      <c r="R29" s="61"/>
      <c r="S29" s="61"/>
      <c r="T29" s="61"/>
      <c r="U29" s="61"/>
      <c r="V29" s="61"/>
      <c r="W29" s="61"/>
      <c r="X29" s="61"/>
      <c r="Y29" s="61"/>
      <c r="Z29" s="61"/>
      <c r="AA29" s="61"/>
      <c r="AB29" s="61"/>
    </row>
    <row r="30" spans="1:28">
      <c r="A30" s="141" t="s">
        <v>131</v>
      </c>
      <c r="B30" s="162">
        <v>-1.2999999999999999E-2</v>
      </c>
      <c r="C30" s="162">
        <v>-1.2999999999999999E-2</v>
      </c>
      <c r="D30" s="162">
        <v>-1.2999999999999999E-2</v>
      </c>
      <c r="E30" s="162">
        <v>-1.2999999999999999E-2</v>
      </c>
      <c r="F30" s="162">
        <v>-1.2999999999999999E-2</v>
      </c>
      <c r="G30" s="162">
        <v>-1.2999999999999999E-2</v>
      </c>
      <c r="H30" s="162">
        <v>-1.2999999999999999E-2</v>
      </c>
      <c r="I30" s="162">
        <v>-1.2999999999999999E-2</v>
      </c>
      <c r="J30" s="162">
        <v>-1.2999999999999999E-2</v>
      </c>
      <c r="K30" s="162">
        <v>-1.2999999999999999E-2</v>
      </c>
      <c r="L30" s="162">
        <v>-1.2999999999999999E-2</v>
      </c>
      <c r="M30" s="61">
        <v>-6.5000000000000002E-2</v>
      </c>
      <c r="N30" s="61">
        <v>-0.13</v>
      </c>
      <c r="O30" s="3"/>
      <c r="P30" s="61"/>
      <c r="Q30" s="61"/>
      <c r="R30" s="61"/>
      <c r="S30" s="61"/>
      <c r="T30" s="61"/>
      <c r="U30" s="61"/>
      <c r="V30" s="61"/>
      <c r="W30" s="61"/>
      <c r="X30" s="61"/>
      <c r="Y30" s="61"/>
      <c r="Z30" s="61"/>
      <c r="AA30" s="61"/>
      <c r="AB30" s="61"/>
    </row>
    <row r="31" spans="1:28">
      <c r="A31" s="142" t="s">
        <v>18</v>
      </c>
      <c r="B31" s="196">
        <v>21.015000000000001</v>
      </c>
      <c r="C31" s="196">
        <v>21.879000000000001</v>
      </c>
      <c r="D31" s="196">
        <v>22.72</v>
      </c>
      <c r="E31" s="196">
        <v>23.571000000000002</v>
      </c>
      <c r="F31" s="196">
        <v>24.462</v>
      </c>
      <c r="G31" s="196">
        <v>25.388000000000002</v>
      </c>
      <c r="H31" s="196">
        <v>26.344000000000001</v>
      </c>
      <c r="I31" s="196">
        <v>27.338999999999999</v>
      </c>
      <c r="J31" s="196">
        <v>28.376999999999999</v>
      </c>
      <c r="K31" s="196">
        <v>29.456</v>
      </c>
      <c r="L31" s="196">
        <v>30.577999999999999</v>
      </c>
      <c r="M31" s="197">
        <v>118.02000000000001</v>
      </c>
      <c r="N31" s="197">
        <v>260.11399999999998</v>
      </c>
      <c r="O31" s="3"/>
      <c r="P31" s="61"/>
      <c r="Q31" s="61"/>
      <c r="R31" s="61"/>
      <c r="S31" s="61"/>
      <c r="T31" s="61"/>
      <c r="U31" s="61"/>
      <c r="V31" s="61"/>
      <c r="W31" s="61"/>
      <c r="X31" s="61"/>
      <c r="Y31" s="61"/>
      <c r="Z31" s="61"/>
      <c r="AA31" s="61"/>
      <c r="AB31" s="61"/>
    </row>
    <row r="32" spans="1:28">
      <c r="A32" s="141" t="s">
        <v>132</v>
      </c>
      <c r="B32" s="162">
        <v>0.17899999999999999</v>
      </c>
      <c r="C32" s="162">
        <v>0.189</v>
      </c>
      <c r="D32" s="162">
        <v>0.19800000000000001</v>
      </c>
      <c r="E32" s="162">
        <v>0.20699999999999999</v>
      </c>
      <c r="F32" s="162">
        <v>0.217</v>
      </c>
      <c r="G32" s="162">
        <v>0.22800000000000001</v>
      </c>
      <c r="H32" s="162">
        <v>0.23899999999999999</v>
      </c>
      <c r="I32" s="162">
        <v>0.25</v>
      </c>
      <c r="J32" s="162">
        <v>0.26200000000000001</v>
      </c>
      <c r="K32" s="162">
        <v>0.27500000000000002</v>
      </c>
      <c r="L32" s="162">
        <v>0.28799999999999998</v>
      </c>
      <c r="M32" s="61">
        <v>1.0389999999999999</v>
      </c>
      <c r="N32" s="61">
        <v>2.3529999999999998</v>
      </c>
      <c r="O32" s="3"/>
      <c r="P32" s="61"/>
      <c r="Q32" s="61"/>
      <c r="R32" s="61"/>
      <c r="S32" s="61"/>
      <c r="T32" s="61"/>
      <c r="U32" s="61"/>
      <c r="V32" s="61"/>
      <c r="W32" s="61"/>
      <c r="X32" s="61"/>
      <c r="Y32" s="61"/>
      <c r="Z32" s="61"/>
      <c r="AA32" s="61"/>
      <c r="AB32" s="61"/>
    </row>
    <row r="33" spans="1:28" s="16" customFormat="1">
      <c r="A33" s="203" t="s">
        <v>133</v>
      </c>
      <c r="B33" s="200">
        <v>21.193999999999999</v>
      </c>
      <c r="C33" s="200">
        <v>22.068000000000001</v>
      </c>
      <c r="D33" s="200">
        <v>22.917999999999999</v>
      </c>
      <c r="E33" s="200">
        <v>23.777999999999999</v>
      </c>
      <c r="F33" s="200">
        <v>24.678999999999998</v>
      </c>
      <c r="G33" s="200">
        <v>25.616</v>
      </c>
      <c r="H33" s="200">
        <v>26.582999999999998</v>
      </c>
      <c r="I33" s="200">
        <v>27.59</v>
      </c>
      <c r="J33" s="200">
        <v>28.638999999999999</v>
      </c>
      <c r="K33" s="200">
        <v>29.731000000000002</v>
      </c>
      <c r="L33" s="200">
        <v>30.866</v>
      </c>
      <c r="M33" s="204">
        <v>119.05900000000001</v>
      </c>
      <c r="N33" s="204">
        <v>262.46800000000002</v>
      </c>
      <c r="O33" s="202"/>
      <c r="P33" s="61"/>
      <c r="Q33" s="61"/>
      <c r="R33" s="61"/>
      <c r="S33" s="61"/>
      <c r="T33" s="61"/>
      <c r="U33" s="61"/>
      <c r="V33" s="61"/>
      <c r="W33" s="61"/>
      <c r="X33" s="61"/>
      <c r="Y33" s="61"/>
      <c r="Z33" s="61"/>
      <c r="AA33" s="220"/>
      <c r="AB33" s="220"/>
    </row>
    <row r="34" spans="1:28">
      <c r="A34" s="177"/>
      <c r="B34" s="162"/>
      <c r="C34" s="162"/>
      <c r="D34" s="162"/>
      <c r="E34" s="162"/>
      <c r="F34" s="162"/>
      <c r="G34" s="162"/>
      <c r="H34" s="162"/>
      <c r="I34" s="162"/>
      <c r="J34" s="162"/>
      <c r="K34" s="162"/>
      <c r="L34" s="162"/>
      <c r="M34" s="61"/>
      <c r="N34" s="61"/>
      <c r="O34" s="3"/>
    </row>
    <row r="35" spans="1:28">
      <c r="A35" s="138" t="s">
        <v>134</v>
      </c>
      <c r="B35" s="162">
        <v>8.3109999999999999</v>
      </c>
      <c r="C35" s="162">
        <v>8.49</v>
      </c>
      <c r="D35" s="162">
        <v>8.76</v>
      </c>
      <c r="E35" s="162">
        <v>8.718</v>
      </c>
      <c r="F35" s="162">
        <v>8.9049999999999994</v>
      </c>
      <c r="G35" s="162">
        <v>9.09</v>
      </c>
      <c r="H35" s="162">
        <v>9.3569999999999993</v>
      </c>
      <c r="I35" s="162">
        <v>9.6820000000000004</v>
      </c>
      <c r="J35" s="162">
        <v>10.047000000000001</v>
      </c>
      <c r="K35" s="162">
        <v>10.451000000000001</v>
      </c>
      <c r="L35" s="162">
        <v>10.89</v>
      </c>
      <c r="M35" s="61">
        <v>43.962999999999994</v>
      </c>
      <c r="N35" s="61">
        <v>94.39</v>
      </c>
      <c r="O35" s="3"/>
      <c r="P35" s="61"/>
      <c r="Q35" s="61"/>
      <c r="R35" s="61"/>
      <c r="S35" s="61"/>
      <c r="T35" s="61"/>
      <c r="U35" s="61"/>
      <c r="V35" s="61"/>
      <c r="W35" s="61"/>
      <c r="X35" s="61"/>
      <c r="Y35" s="61"/>
      <c r="Z35" s="61"/>
      <c r="AA35" s="61"/>
      <c r="AB35" s="61"/>
    </row>
    <row r="36" spans="1:28">
      <c r="A36" s="138" t="s">
        <v>135</v>
      </c>
      <c r="B36" s="162">
        <v>7.9450000000000003</v>
      </c>
      <c r="C36" s="162">
        <v>7.0659999999999998</v>
      </c>
      <c r="D36" s="162">
        <v>6.3220000000000001</v>
      </c>
      <c r="E36" s="162">
        <v>5.6890000000000001</v>
      </c>
      <c r="F36" s="162">
        <v>5.1479999999999997</v>
      </c>
      <c r="G36" s="162">
        <v>4.6820000000000004</v>
      </c>
      <c r="H36" s="162">
        <v>4.2789999999999999</v>
      </c>
      <c r="I36" s="162">
        <v>3.927</v>
      </c>
      <c r="J36" s="162">
        <v>3.6190000000000002</v>
      </c>
      <c r="K36" s="162">
        <v>3.347</v>
      </c>
      <c r="L36" s="162">
        <v>3.1059999999999999</v>
      </c>
      <c r="M36" s="61">
        <v>28.906999999999996</v>
      </c>
      <c r="N36" s="61">
        <v>47.184999999999995</v>
      </c>
      <c r="O36" s="3"/>
      <c r="P36" s="61"/>
      <c r="Q36" s="61"/>
      <c r="R36" s="61"/>
      <c r="S36" s="61"/>
      <c r="T36" s="61"/>
      <c r="U36" s="61"/>
      <c r="V36" s="61"/>
      <c r="W36" s="61"/>
      <c r="X36" s="61"/>
      <c r="Y36" s="61"/>
      <c r="Z36" s="61"/>
      <c r="AA36" s="61"/>
      <c r="AB36" s="61"/>
    </row>
    <row r="37" spans="1:28">
      <c r="A37" s="138" t="s">
        <v>136</v>
      </c>
      <c r="B37" s="162">
        <v>10.36</v>
      </c>
      <c r="C37" s="162">
        <v>10.352</v>
      </c>
      <c r="D37" s="162">
        <v>10.339</v>
      </c>
      <c r="E37" s="162">
        <v>10.342000000000001</v>
      </c>
      <c r="F37" s="162">
        <v>10.356999999999999</v>
      </c>
      <c r="G37" s="162">
        <v>10.377000000000001</v>
      </c>
      <c r="H37" s="162">
        <v>10.404999999999999</v>
      </c>
      <c r="I37" s="162">
        <v>10.441000000000001</v>
      </c>
      <c r="J37" s="162">
        <v>10.483000000000001</v>
      </c>
      <c r="K37" s="162">
        <v>10.528</v>
      </c>
      <c r="L37" s="162">
        <v>10.577</v>
      </c>
      <c r="M37" s="61">
        <v>51.767000000000003</v>
      </c>
      <c r="N37" s="61">
        <v>104.20100000000001</v>
      </c>
      <c r="O37" s="3"/>
      <c r="P37" s="61"/>
      <c r="Q37" s="61"/>
      <c r="R37" s="61"/>
      <c r="S37" s="61"/>
      <c r="T37" s="61"/>
      <c r="U37" s="61"/>
      <c r="V37" s="61"/>
      <c r="W37" s="61"/>
      <c r="X37" s="61"/>
      <c r="Y37" s="61"/>
      <c r="Z37" s="61"/>
      <c r="AA37" s="61"/>
      <c r="AB37" s="61"/>
    </row>
    <row r="38" spans="1:28">
      <c r="A38" s="138" t="s">
        <v>137</v>
      </c>
      <c r="B38" s="162">
        <v>14.311</v>
      </c>
      <c r="C38" s="162">
        <v>13.25</v>
      </c>
      <c r="D38" s="162">
        <v>10.833</v>
      </c>
      <c r="E38" s="162">
        <v>11.462999999999999</v>
      </c>
      <c r="F38" s="162">
        <v>12.429</v>
      </c>
      <c r="G38" s="162">
        <v>10.846</v>
      </c>
      <c r="H38" s="162">
        <v>10.798</v>
      </c>
      <c r="I38" s="162">
        <v>10.917999999999999</v>
      </c>
      <c r="J38" s="162">
        <v>9.75</v>
      </c>
      <c r="K38" s="162">
        <v>11.417999999999999</v>
      </c>
      <c r="L38" s="162">
        <v>11.744999999999999</v>
      </c>
      <c r="M38" s="162">
        <v>58.820999999999998</v>
      </c>
      <c r="N38" s="162">
        <v>113.45000000000002</v>
      </c>
      <c r="O38" s="3"/>
      <c r="P38" s="61"/>
      <c r="Q38" s="61"/>
      <c r="R38" s="61"/>
      <c r="S38" s="61"/>
      <c r="T38" s="61"/>
      <c r="U38" s="61"/>
      <c r="V38" s="61"/>
      <c r="W38" s="61"/>
      <c r="X38" s="61"/>
      <c r="Y38" s="61"/>
      <c r="Z38" s="61"/>
      <c r="AA38" s="61"/>
      <c r="AB38" s="61"/>
    </row>
    <row r="39" spans="1:28" s="16" customFormat="1" ht="26" customHeight="1">
      <c r="A39" s="198" t="s">
        <v>4</v>
      </c>
      <c r="B39" s="169">
        <v>108.343</v>
      </c>
      <c r="C39" s="169">
        <v>108.19499999999999</v>
      </c>
      <c r="D39" s="169">
        <v>106.72199999999999</v>
      </c>
      <c r="E39" s="169">
        <v>108.02800000000001</v>
      </c>
      <c r="F39" s="169">
        <v>110.01300000000001</v>
      </c>
      <c r="G39" s="169">
        <v>109.556</v>
      </c>
      <c r="H39" s="169">
        <v>110.831</v>
      </c>
      <c r="I39" s="169">
        <v>112.45</v>
      </c>
      <c r="J39" s="169">
        <v>112.93</v>
      </c>
      <c r="K39" s="169">
        <v>116.393</v>
      </c>
      <c r="L39" s="169">
        <v>118.642</v>
      </c>
      <c r="M39" s="169">
        <v>542.51400000000001</v>
      </c>
      <c r="N39" s="169">
        <v>1113.7600000000002</v>
      </c>
      <c r="O39" s="3"/>
      <c r="P39" s="61"/>
      <c r="Q39" s="61"/>
      <c r="R39" s="61"/>
      <c r="S39" s="61"/>
      <c r="T39" s="61"/>
      <c r="U39" s="61"/>
      <c r="V39" s="61"/>
      <c r="W39" s="61"/>
      <c r="X39" s="61"/>
      <c r="Y39" s="61"/>
      <c r="Z39" s="61"/>
      <c r="AA39" s="220"/>
      <c r="AB39" s="220"/>
    </row>
    <row r="40" spans="1:28">
      <c r="A40" s="164"/>
      <c r="B40" s="72"/>
      <c r="C40" s="72"/>
      <c r="D40" s="72"/>
      <c r="E40" s="72"/>
      <c r="F40" s="72"/>
      <c r="G40" s="72"/>
      <c r="H40" s="72"/>
      <c r="I40" s="72"/>
      <c r="J40" s="72"/>
      <c r="K40" s="72"/>
      <c r="L40" s="72"/>
      <c r="M40" s="72"/>
      <c r="N40" s="72"/>
      <c r="O40" s="72"/>
      <c r="P40" s="61"/>
      <c r="Q40" s="61"/>
      <c r="R40" s="61"/>
      <c r="S40" s="61"/>
      <c r="T40" s="61"/>
      <c r="U40" s="61"/>
      <c r="V40" s="61"/>
      <c r="W40" s="61"/>
      <c r="X40" s="61"/>
      <c r="Y40" s="61"/>
      <c r="Z40" s="61"/>
      <c r="AA40" s="61"/>
      <c r="AB40" s="61"/>
    </row>
    <row r="41" spans="1:28">
      <c r="A41" s="177" t="s">
        <v>24</v>
      </c>
      <c r="B41" s="168"/>
      <c r="C41" s="168"/>
      <c r="D41" s="168"/>
      <c r="E41" s="168"/>
      <c r="F41" s="168"/>
      <c r="G41" s="168"/>
      <c r="H41" s="168"/>
      <c r="I41" s="168"/>
      <c r="J41" s="168"/>
      <c r="K41" s="168"/>
      <c r="L41" s="168"/>
      <c r="M41" s="168"/>
      <c r="N41" s="168"/>
      <c r="O41" s="73"/>
    </row>
    <row r="42" spans="1:28">
      <c r="A42" s="177"/>
      <c r="B42" s="165"/>
      <c r="C42" s="165"/>
      <c r="D42" s="165"/>
      <c r="E42" s="165"/>
      <c r="F42" s="165"/>
      <c r="G42" s="165"/>
      <c r="H42" s="165"/>
      <c r="I42" s="165"/>
      <c r="J42" s="165"/>
      <c r="K42" s="165"/>
      <c r="L42" s="165"/>
      <c r="M42" s="165"/>
      <c r="N42" s="165"/>
      <c r="O42" s="73"/>
    </row>
    <row r="43" spans="1:28">
      <c r="A43" s="177" t="s">
        <v>138</v>
      </c>
      <c r="B43" s="165"/>
      <c r="C43" s="165"/>
      <c r="D43" s="165"/>
      <c r="E43" s="165"/>
      <c r="F43" s="165"/>
      <c r="G43" s="165"/>
      <c r="H43" s="165"/>
      <c r="I43" s="165"/>
      <c r="J43" s="165"/>
      <c r="K43" s="165"/>
      <c r="L43" s="165"/>
      <c r="M43" s="165"/>
      <c r="N43" s="165"/>
      <c r="O43" s="73"/>
    </row>
    <row r="44" spans="1:28">
      <c r="A44" s="179"/>
      <c r="B44" s="166"/>
      <c r="C44" s="166"/>
      <c r="D44" s="166"/>
      <c r="E44" s="166"/>
      <c r="F44" s="166"/>
      <c r="G44" s="166"/>
      <c r="H44" s="166"/>
      <c r="I44" s="166"/>
      <c r="J44" s="166"/>
      <c r="K44" s="166"/>
      <c r="L44" s="166"/>
      <c r="M44" s="166"/>
      <c r="N44" s="70"/>
      <c r="O44" s="73"/>
    </row>
    <row r="45" spans="1:28">
      <c r="A45" s="167"/>
      <c r="B45" s="62"/>
      <c r="C45" s="62"/>
      <c r="D45" s="62"/>
      <c r="E45" s="62"/>
      <c r="F45" s="62"/>
      <c r="G45" s="62"/>
      <c r="H45" s="62"/>
      <c r="I45" s="62"/>
      <c r="J45" s="62"/>
      <c r="K45" s="62"/>
      <c r="L45" s="62"/>
      <c r="M45" s="62"/>
      <c r="N45" s="62"/>
      <c r="O45" s="73"/>
    </row>
    <row r="46" spans="1:28">
      <c r="A46" s="242" t="s">
        <v>25</v>
      </c>
      <c r="B46" s="73"/>
      <c r="C46" s="73"/>
      <c r="D46" s="73"/>
      <c r="E46" s="73"/>
      <c r="F46" s="73"/>
      <c r="G46" s="73"/>
      <c r="H46" s="73"/>
      <c r="I46" s="73"/>
      <c r="J46" s="73"/>
      <c r="K46" s="73"/>
      <c r="L46" s="73"/>
      <c r="M46" s="73"/>
      <c r="N46" s="73"/>
      <c r="O46" s="73"/>
    </row>
    <row r="47" spans="1:28">
      <c r="A47" s="73"/>
      <c r="B47" s="216"/>
      <c r="C47" s="216"/>
      <c r="D47" s="216"/>
      <c r="E47" s="216"/>
      <c r="F47" s="216"/>
      <c r="G47" s="216"/>
      <c r="H47" s="216"/>
      <c r="I47" s="216"/>
      <c r="J47" s="216"/>
      <c r="K47" s="216"/>
      <c r="L47" s="216"/>
      <c r="M47" s="216"/>
      <c r="N47" s="216"/>
      <c r="O47" s="73"/>
    </row>
    <row r="51" spans="2:12">
      <c r="B51" s="61"/>
      <c r="C51" s="61"/>
      <c r="D51" s="61"/>
      <c r="E51" s="61"/>
      <c r="F51" s="61"/>
      <c r="G51" s="61"/>
      <c r="H51" s="61"/>
      <c r="I51" s="61"/>
      <c r="J51" s="61"/>
      <c r="K51" s="61"/>
      <c r="L51" s="61"/>
    </row>
    <row r="55" spans="2:12">
      <c r="B55" s="14"/>
      <c r="C55" s="14"/>
      <c r="D55" s="14"/>
      <c r="E55" s="14"/>
      <c r="F55" s="14"/>
      <c r="G55" s="14"/>
      <c r="H55" s="14"/>
      <c r="I55" s="14"/>
      <c r="J55" s="14"/>
      <c r="K55" s="14"/>
      <c r="L55" s="14"/>
    </row>
  </sheetData>
  <mergeCells count="1">
    <mergeCell ref="M8:N8"/>
  </mergeCells>
  <hyperlinks>
    <hyperlink ref="A46" location="Contents!A1" display="Back to Table of Contents" xr:uid="{00000000-0004-0000-0500-000000000000}"/>
    <hyperlink ref="A2" r:id="rId1" xr:uid="{B84A734F-BEF2-FE45-847C-904B35F7A84D}"/>
  </hyperlinks>
  <pageMargins left="0.7" right="0.7" top="0.75" bottom="0.75" header="0.3" footer="0.3"/>
  <pageSetup scale="68" fitToHeight="0"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1386E-3996-4D54-A5CD-39190B2467C7}">
  <sheetPr codeName="Sheet6"/>
  <dimension ref="A1:Q63"/>
  <sheetViews>
    <sheetView zoomScaleNormal="100" workbookViewId="0"/>
  </sheetViews>
  <sheetFormatPr baseColWidth="10" defaultColWidth="9.5" defaultRowHeight="14"/>
  <cols>
    <col min="1" max="1" width="10.5" style="29" customWidth="1"/>
    <col min="2" max="2" width="12.5" style="29" customWidth="1"/>
    <col min="3" max="3" width="8.5" style="29" customWidth="1"/>
    <col min="4" max="4" width="2.5" style="29" customWidth="1"/>
    <col min="5" max="5" width="12.5" style="29" customWidth="1"/>
    <col min="6" max="6" width="8.5" style="29" customWidth="1"/>
    <col min="7" max="7" width="2.5" style="29" customWidth="1"/>
    <col min="8" max="8" width="12.5" style="29" customWidth="1"/>
    <col min="9" max="9" width="8.5" style="29" customWidth="1"/>
    <col min="10" max="10" width="2.5" style="29" customWidth="1"/>
    <col min="11" max="11" width="14.5" style="29" customWidth="1"/>
    <col min="12" max="12" width="9.5" style="29" customWidth="1"/>
    <col min="13" max="16384" width="9.5" style="29"/>
  </cols>
  <sheetData>
    <row r="1" spans="1:17" ht="14.75" customHeight="1">
      <c r="A1" s="55" t="s">
        <v>307</v>
      </c>
      <c r="B1" s="73"/>
      <c r="C1" s="73"/>
      <c r="D1" s="73"/>
      <c r="E1" s="73"/>
      <c r="F1" s="73"/>
      <c r="G1" s="73"/>
      <c r="H1" s="73"/>
      <c r="I1" s="73"/>
      <c r="J1" s="73"/>
      <c r="K1" s="73"/>
      <c r="L1" s="73"/>
      <c r="M1" s="1"/>
    </row>
    <row r="2" spans="1:17" ht="14.75" customHeight="1">
      <c r="A2" s="233" t="s">
        <v>308</v>
      </c>
      <c r="B2" s="73"/>
      <c r="C2" s="73"/>
      <c r="D2" s="73"/>
      <c r="E2" s="73"/>
      <c r="F2" s="73"/>
      <c r="G2" s="73"/>
      <c r="H2" s="73"/>
      <c r="I2" s="73"/>
      <c r="J2" s="73"/>
      <c r="K2" s="73"/>
      <c r="L2" s="73"/>
      <c r="M2" s="1"/>
    </row>
    <row r="3" spans="1:17" ht="14.75" customHeight="1">
      <c r="A3" s="84"/>
      <c r="B3" s="84"/>
      <c r="C3" s="84"/>
      <c r="D3" s="84"/>
      <c r="E3" s="84"/>
      <c r="F3" s="84"/>
      <c r="G3" s="84"/>
      <c r="H3" s="84"/>
      <c r="I3" s="84"/>
      <c r="J3" s="84"/>
      <c r="K3" s="84"/>
      <c r="L3" s="84"/>
      <c r="M3" s="185"/>
      <c r="N3" s="1"/>
      <c r="O3" s="1"/>
      <c r="P3" s="1"/>
      <c r="Q3" s="1"/>
    </row>
    <row r="4" spans="1:17" ht="14.75" customHeight="1">
      <c r="A4" s="84"/>
      <c r="B4" s="84"/>
      <c r="C4" s="84"/>
      <c r="D4" s="84"/>
      <c r="E4" s="84"/>
      <c r="F4" s="84"/>
      <c r="G4" s="84"/>
      <c r="H4" s="84"/>
      <c r="I4" s="84"/>
      <c r="J4" s="84"/>
      <c r="K4" s="84"/>
      <c r="L4" s="84"/>
      <c r="M4" s="185"/>
      <c r="N4" s="1"/>
      <c r="O4" s="1"/>
      <c r="P4" s="1"/>
      <c r="Q4" s="1"/>
    </row>
    <row r="5" spans="1:17" s="31" customFormat="1" ht="14.75" customHeight="1">
      <c r="A5" s="58" t="s">
        <v>139</v>
      </c>
      <c r="B5" s="85"/>
      <c r="C5" s="85"/>
      <c r="D5" s="85"/>
      <c r="E5" s="85"/>
      <c r="F5" s="85"/>
      <c r="G5" s="85"/>
      <c r="H5" s="85"/>
      <c r="I5" s="85"/>
      <c r="J5" s="85"/>
      <c r="K5" s="85"/>
      <c r="L5" s="85"/>
      <c r="M5" s="30"/>
      <c r="N5" s="1"/>
      <c r="O5" s="1"/>
      <c r="P5" s="1"/>
      <c r="Q5" s="1"/>
    </row>
    <row r="6" spans="1:17" ht="14.75" customHeight="1">
      <c r="A6" s="84"/>
      <c r="B6" s="32"/>
      <c r="C6" s="32"/>
      <c r="D6" s="32"/>
      <c r="E6" s="32"/>
      <c r="F6" s="32"/>
      <c r="G6" s="32"/>
      <c r="H6" s="32"/>
      <c r="I6" s="32"/>
      <c r="J6" s="32"/>
      <c r="K6" s="32"/>
      <c r="L6" s="32"/>
      <c r="M6" s="32"/>
      <c r="N6" s="1"/>
      <c r="O6" s="1"/>
      <c r="P6" s="1"/>
      <c r="Q6" s="1"/>
    </row>
    <row r="7" spans="1:17" s="33" customFormat="1" ht="14.75" customHeight="1">
      <c r="A7" s="86"/>
      <c r="G7" s="34"/>
      <c r="H7" s="255" t="s">
        <v>140</v>
      </c>
      <c r="I7" s="255"/>
      <c r="J7" s="255"/>
      <c r="K7" s="255"/>
      <c r="L7" s="255"/>
      <c r="M7" s="34"/>
      <c r="N7" s="1"/>
      <c r="O7" s="1"/>
      <c r="P7" s="1"/>
      <c r="Q7" s="1"/>
    </row>
    <row r="8" spans="1:17" s="33" customFormat="1" ht="14.75" customHeight="1">
      <c r="A8" s="86"/>
      <c r="B8" s="255" t="s">
        <v>141</v>
      </c>
      <c r="C8" s="255"/>
      <c r="D8" s="255"/>
      <c r="E8" s="255"/>
      <c r="F8" s="255"/>
      <c r="G8" s="35"/>
      <c r="H8" s="36"/>
      <c r="I8" s="36"/>
      <c r="J8" s="35"/>
      <c r="K8" s="256" t="s">
        <v>142</v>
      </c>
      <c r="L8" s="257"/>
      <c r="M8" s="34"/>
      <c r="N8" s="219"/>
      <c r="O8" s="177"/>
      <c r="P8" s="1"/>
      <c r="Q8" s="1"/>
    </row>
    <row r="9" spans="1:17" s="33" customFormat="1" ht="14.75" customHeight="1">
      <c r="A9" s="87"/>
      <c r="B9" s="258" t="s">
        <v>3</v>
      </c>
      <c r="C9" s="258"/>
      <c r="D9" s="184"/>
      <c r="E9" s="258" t="s">
        <v>143</v>
      </c>
      <c r="F9" s="258"/>
      <c r="G9" s="184"/>
      <c r="H9" s="258" t="s">
        <v>3</v>
      </c>
      <c r="I9" s="258"/>
      <c r="J9" s="184"/>
      <c r="K9" s="258" t="s">
        <v>144</v>
      </c>
      <c r="L9" s="259"/>
      <c r="M9" s="34"/>
      <c r="N9" s="1"/>
      <c r="O9" s="1"/>
      <c r="P9" s="1"/>
      <c r="Q9" s="1"/>
    </row>
    <row r="10" spans="1:17" s="33" customFormat="1" ht="14.75" customHeight="1">
      <c r="A10" s="37">
        <v>1996</v>
      </c>
      <c r="B10" s="2">
        <v>260.69600000000003</v>
      </c>
      <c r="C10" s="49"/>
      <c r="D10" s="149"/>
      <c r="E10" s="39">
        <v>3.2290000000000001</v>
      </c>
      <c r="F10" s="150"/>
      <c r="G10" s="149"/>
      <c r="H10" s="2">
        <v>54.218000000000004</v>
      </c>
      <c r="I10" s="150"/>
      <c r="J10" s="149"/>
      <c r="K10" s="39">
        <v>8.26</v>
      </c>
      <c r="L10" s="156"/>
      <c r="M10" s="34"/>
      <c r="N10" s="1"/>
      <c r="O10" s="1"/>
      <c r="P10" s="1"/>
      <c r="Q10" s="1"/>
    </row>
    <row r="11" spans="1:17" ht="14.75" customHeight="1">
      <c r="A11" s="37">
        <v>1997</v>
      </c>
      <c r="B11" s="2">
        <v>364.8</v>
      </c>
      <c r="C11" s="49"/>
      <c r="D11" s="149"/>
      <c r="E11" s="39">
        <v>4.2530000000000001</v>
      </c>
      <c r="F11" s="150"/>
      <c r="G11" s="149"/>
      <c r="H11" s="2">
        <v>72.204999999999998</v>
      </c>
      <c r="I11" s="150"/>
      <c r="J11" s="149"/>
      <c r="K11" s="39">
        <v>9.7910000000000004</v>
      </c>
      <c r="L11" s="88"/>
      <c r="M11" s="185"/>
      <c r="N11" s="1"/>
      <c r="O11" s="1"/>
      <c r="P11" s="1"/>
      <c r="Q11" s="223"/>
    </row>
    <row r="12" spans="1:17" ht="14.75" customHeight="1">
      <c r="A12" s="37">
        <v>1998</v>
      </c>
      <c r="B12" s="2">
        <v>455.22300000000001</v>
      </c>
      <c r="C12" s="49"/>
      <c r="D12" s="43"/>
      <c r="E12" s="39">
        <v>5.0229999999999997</v>
      </c>
      <c r="F12" s="151"/>
      <c r="G12" s="152"/>
      <c r="H12" s="2">
        <v>83.698999999999998</v>
      </c>
      <c r="I12" s="151"/>
      <c r="J12" s="152"/>
      <c r="K12" s="39">
        <v>10.101000000000001</v>
      </c>
      <c r="L12" s="90"/>
      <c r="M12" s="32"/>
      <c r="N12" s="220"/>
      <c r="O12" s="220"/>
      <c r="P12" s="1"/>
      <c r="Q12" s="223"/>
    </row>
    <row r="13" spans="1:17" ht="14.75" customHeight="1">
      <c r="A13" s="37">
        <v>1999</v>
      </c>
      <c r="B13" s="2">
        <v>552.60799999999995</v>
      </c>
      <c r="C13" s="49"/>
      <c r="D13" s="43"/>
      <c r="E13" s="39">
        <v>5.7380000000000004</v>
      </c>
      <c r="F13" s="151"/>
      <c r="G13" s="152"/>
      <c r="H13" s="2">
        <v>99.307000000000002</v>
      </c>
      <c r="I13" s="151"/>
      <c r="J13" s="152"/>
      <c r="K13" s="39">
        <v>11.292</v>
      </c>
      <c r="L13" s="90"/>
      <c r="M13" s="32"/>
      <c r="N13" s="220"/>
      <c r="O13" s="220"/>
      <c r="P13" s="1"/>
      <c r="Q13" s="223"/>
    </row>
    <row r="14" spans="1:17" ht="14.75" customHeight="1">
      <c r="A14" s="37">
        <v>2000</v>
      </c>
      <c r="B14" s="2">
        <v>644.28499999999997</v>
      </c>
      <c r="C14" s="49"/>
      <c r="D14" s="43"/>
      <c r="E14" s="39">
        <v>6.2850000000000001</v>
      </c>
      <c r="F14" s="151"/>
      <c r="G14" s="152"/>
      <c r="H14" s="2">
        <v>118.785</v>
      </c>
      <c r="I14" s="151"/>
      <c r="J14" s="152"/>
      <c r="K14" s="39">
        <v>11.826000000000001</v>
      </c>
      <c r="L14" s="90"/>
      <c r="M14" s="32"/>
      <c r="N14" s="220"/>
      <c r="O14" s="220"/>
      <c r="P14" s="1"/>
      <c r="Q14" s="223"/>
    </row>
    <row r="15" spans="1:17" ht="14.75" customHeight="1">
      <c r="A15" s="37">
        <v>2001</v>
      </c>
      <c r="B15" s="2">
        <v>349.44099999999997</v>
      </c>
      <c r="C15" s="49"/>
      <c r="D15" s="43"/>
      <c r="E15" s="39">
        <v>3.302</v>
      </c>
      <c r="F15" s="151"/>
      <c r="G15" s="152"/>
      <c r="H15" s="2">
        <v>99.563999999999993</v>
      </c>
      <c r="I15" s="151"/>
      <c r="J15" s="152"/>
      <c r="K15" s="39">
        <v>10.013</v>
      </c>
      <c r="L15" s="90"/>
      <c r="M15" s="32"/>
      <c r="N15" s="220"/>
      <c r="O15" s="220"/>
      <c r="P15" s="1"/>
      <c r="Q15" s="223"/>
    </row>
    <row r="16" spans="1:17" ht="14.75" customHeight="1">
      <c r="A16" s="37">
        <v>2002</v>
      </c>
      <c r="B16" s="2">
        <v>268.61500000000001</v>
      </c>
      <c r="C16" s="49"/>
      <c r="D16" s="43"/>
      <c r="E16" s="39">
        <v>2.4580000000000002</v>
      </c>
      <c r="F16" s="151"/>
      <c r="G16" s="152"/>
      <c r="H16" s="2">
        <v>58.222000000000001</v>
      </c>
      <c r="I16" s="151"/>
      <c r="J16" s="149"/>
      <c r="K16" s="39">
        <v>6.7830000000000004</v>
      </c>
      <c r="L16" s="90"/>
      <c r="M16" s="32"/>
      <c r="N16" s="220"/>
      <c r="O16" s="220"/>
      <c r="P16" s="1"/>
      <c r="Q16" s="223"/>
    </row>
    <row r="17" spans="1:17" ht="14.75" customHeight="1">
      <c r="A17" s="37">
        <v>2003</v>
      </c>
      <c r="B17" s="2">
        <v>323.30599999999998</v>
      </c>
      <c r="C17" s="49"/>
      <c r="D17" s="43"/>
      <c r="E17" s="39">
        <v>2.8220000000000001</v>
      </c>
      <c r="F17" s="151"/>
      <c r="G17" s="152"/>
      <c r="H17" s="2">
        <v>50.12</v>
      </c>
      <c r="I17" s="151"/>
      <c r="J17" s="152"/>
      <c r="K17" s="39">
        <v>6.3150000000000004</v>
      </c>
      <c r="L17" s="90"/>
      <c r="M17" s="32"/>
      <c r="N17" s="220"/>
      <c r="O17" s="220"/>
      <c r="P17" s="1"/>
      <c r="Q17" s="223"/>
    </row>
    <row r="18" spans="1:17" ht="14.75" customHeight="1">
      <c r="A18" s="37">
        <v>2004</v>
      </c>
      <c r="B18" s="2">
        <v>499.154</v>
      </c>
      <c r="C18" s="49"/>
      <c r="D18" s="43"/>
      <c r="E18" s="39">
        <v>4.0860000000000003</v>
      </c>
      <c r="F18" s="151"/>
      <c r="G18" s="152"/>
      <c r="H18" s="2">
        <v>61.183</v>
      </c>
      <c r="I18" s="151"/>
      <c r="J18" s="152"/>
      <c r="K18" s="39">
        <v>7.5629999999999997</v>
      </c>
      <c r="L18" s="90"/>
      <c r="M18" s="32"/>
      <c r="N18" s="220"/>
      <c r="O18" s="220"/>
      <c r="P18" s="1"/>
      <c r="Q18" s="223"/>
    </row>
    <row r="19" spans="1:17" ht="14.75" customHeight="1">
      <c r="A19" s="37">
        <v>2005</v>
      </c>
      <c r="B19" s="2">
        <v>690.15200000000004</v>
      </c>
      <c r="C19" s="49"/>
      <c r="D19" s="43"/>
      <c r="E19" s="39">
        <v>5.2930000000000001</v>
      </c>
      <c r="F19" s="151"/>
      <c r="G19" s="152"/>
      <c r="H19" s="2">
        <v>86.245000000000005</v>
      </c>
      <c r="I19" s="151"/>
      <c r="J19" s="152"/>
      <c r="K19" s="39">
        <v>9.3010000000000002</v>
      </c>
      <c r="L19" s="90"/>
      <c r="M19" s="32"/>
      <c r="N19" s="220"/>
      <c r="O19" s="220"/>
      <c r="P19" s="1"/>
      <c r="Q19" s="223"/>
    </row>
    <row r="20" spans="1:17" ht="14.75" customHeight="1">
      <c r="A20" s="37">
        <v>2006</v>
      </c>
      <c r="B20" s="2">
        <v>798.21400000000006</v>
      </c>
      <c r="C20" s="49"/>
      <c r="D20" s="43"/>
      <c r="E20" s="39">
        <v>5.7779999999999996</v>
      </c>
      <c r="F20" s="151"/>
      <c r="G20" s="152"/>
      <c r="H20" s="2">
        <v>109.203</v>
      </c>
      <c r="I20" s="151"/>
      <c r="J20" s="152"/>
      <c r="K20" s="39">
        <v>10.461</v>
      </c>
      <c r="L20" s="90"/>
      <c r="M20" s="32"/>
      <c r="N20" s="220"/>
      <c r="O20" s="220"/>
      <c r="P20" s="1"/>
      <c r="Q20" s="223"/>
    </row>
    <row r="21" spans="1:17" ht="14.75" customHeight="1">
      <c r="A21" s="37">
        <v>2007</v>
      </c>
      <c r="B21" s="2">
        <v>924.12900000000002</v>
      </c>
      <c r="C21" s="49"/>
      <c r="D21" s="43"/>
      <c r="E21" s="39">
        <v>6.3849999999999998</v>
      </c>
      <c r="F21" s="151"/>
      <c r="G21" s="152"/>
      <c r="H21" s="2">
        <v>126.5</v>
      </c>
      <c r="I21" s="151"/>
      <c r="J21" s="152"/>
      <c r="K21" s="39">
        <v>10.872999999999999</v>
      </c>
      <c r="L21" s="90"/>
      <c r="M21" s="32"/>
      <c r="N21" s="220"/>
      <c r="O21" s="220"/>
      <c r="P21" s="1"/>
      <c r="Q21" s="223"/>
    </row>
    <row r="22" spans="1:17" ht="14.75" customHeight="1">
      <c r="A22" s="37">
        <v>2008</v>
      </c>
      <c r="B22" s="2">
        <v>497.84100000000001</v>
      </c>
      <c r="C22" s="49"/>
      <c r="D22" s="43"/>
      <c r="E22" s="39">
        <v>3.371</v>
      </c>
      <c r="F22" s="151"/>
      <c r="G22" s="152"/>
      <c r="H22" s="2">
        <v>106.384</v>
      </c>
      <c r="I22" s="151"/>
      <c r="J22" s="149"/>
      <c r="K22" s="39">
        <v>9.2850000000000001</v>
      </c>
      <c r="L22" s="90"/>
      <c r="M22" s="32"/>
      <c r="N22" s="220"/>
      <c r="O22" s="220"/>
      <c r="P22" s="1"/>
      <c r="Q22" s="223"/>
    </row>
    <row r="23" spans="1:17" ht="14.75" customHeight="1">
      <c r="A23" s="37">
        <v>2009</v>
      </c>
      <c r="B23" s="2">
        <v>263.45999999999998</v>
      </c>
      <c r="C23" s="49"/>
      <c r="D23" s="43"/>
      <c r="E23" s="39">
        <v>1.82</v>
      </c>
      <c r="F23" s="151"/>
      <c r="G23" s="152"/>
      <c r="H23" s="2">
        <v>54.344000000000001</v>
      </c>
      <c r="I23" s="151"/>
      <c r="J23" s="152"/>
      <c r="K23" s="39">
        <v>5.9370000000000003</v>
      </c>
      <c r="L23" s="90"/>
      <c r="M23" s="32"/>
      <c r="N23" s="220"/>
      <c r="O23" s="220"/>
      <c r="P23" s="1"/>
      <c r="Q23" s="223"/>
    </row>
    <row r="24" spans="1:17" ht="14.75" customHeight="1">
      <c r="A24" s="37">
        <v>2010</v>
      </c>
      <c r="B24" s="2">
        <v>394.23</v>
      </c>
      <c r="C24" s="49"/>
      <c r="D24" s="43"/>
      <c r="E24" s="39">
        <v>2.62</v>
      </c>
      <c r="F24" s="151"/>
      <c r="G24" s="152"/>
      <c r="H24" s="2">
        <v>44.935000000000002</v>
      </c>
      <c r="I24" s="151"/>
      <c r="J24" s="152"/>
      <c r="K24" s="39">
        <v>5.0010000000000003</v>
      </c>
      <c r="L24" s="90"/>
      <c r="M24" s="32"/>
      <c r="N24" s="220"/>
      <c r="O24" s="220"/>
      <c r="P24" s="1"/>
      <c r="Q24" s="223"/>
    </row>
    <row r="25" spans="1:17" ht="14.75" customHeight="1">
      <c r="A25" s="37">
        <v>2011</v>
      </c>
      <c r="B25" s="2">
        <v>404.34399999999999</v>
      </c>
      <c r="C25" s="49"/>
      <c r="D25" s="43"/>
      <c r="E25" s="39">
        <v>2.5920000000000001</v>
      </c>
      <c r="F25" s="151"/>
      <c r="G25" s="152"/>
      <c r="H25" s="2">
        <v>55.765999999999998</v>
      </c>
      <c r="I25" s="151"/>
      <c r="J25" s="152"/>
      <c r="K25" s="39">
        <v>5.109</v>
      </c>
      <c r="L25" s="90"/>
      <c r="M25" s="32"/>
      <c r="N25" s="220"/>
      <c r="O25" s="220"/>
      <c r="P25" s="1"/>
      <c r="Q25" s="223"/>
    </row>
    <row r="26" spans="1:17" ht="14.75" customHeight="1">
      <c r="A26" s="37">
        <v>2012</v>
      </c>
      <c r="B26" s="2">
        <v>647.07299999999998</v>
      </c>
      <c r="C26" s="49"/>
      <c r="D26" s="43"/>
      <c r="E26" s="39">
        <v>3.9809999999999999</v>
      </c>
      <c r="F26" s="151"/>
      <c r="G26" s="152"/>
      <c r="H26" s="2">
        <v>72.204999999999998</v>
      </c>
      <c r="I26" s="151"/>
      <c r="J26" s="152"/>
      <c r="K26" s="39">
        <v>6.3769999999999998</v>
      </c>
      <c r="L26" s="90"/>
      <c r="M26" s="32"/>
      <c r="N26" s="220"/>
      <c r="O26" s="220"/>
      <c r="P26" s="1"/>
      <c r="Q26" s="223"/>
    </row>
    <row r="27" spans="1:17" ht="14.75" customHeight="1">
      <c r="A27" s="37">
        <v>2013</v>
      </c>
      <c r="B27" s="2">
        <v>510.53</v>
      </c>
      <c r="C27" s="49"/>
      <c r="D27" s="49"/>
      <c r="E27" s="39">
        <v>3.024</v>
      </c>
      <c r="F27" s="151"/>
      <c r="G27" s="49"/>
      <c r="H27" s="2">
        <v>94.606999999999999</v>
      </c>
      <c r="I27" s="151"/>
      <c r="J27" s="49"/>
      <c r="K27" s="39">
        <v>7.1870000000000003</v>
      </c>
      <c r="L27" s="90"/>
      <c r="M27" s="32"/>
      <c r="N27" s="220"/>
      <c r="O27" s="220"/>
      <c r="P27" s="1"/>
      <c r="Q27" s="223"/>
    </row>
    <row r="28" spans="1:17" ht="14.75" customHeight="1">
      <c r="A28" s="37">
        <v>2014</v>
      </c>
      <c r="B28" s="2">
        <v>716.26800000000003</v>
      </c>
      <c r="C28" s="49"/>
      <c r="D28" s="43"/>
      <c r="E28" s="39">
        <v>4.0679999999999996</v>
      </c>
      <c r="F28" s="151"/>
      <c r="G28" s="152"/>
      <c r="H28" s="2">
        <v>116.946</v>
      </c>
      <c r="I28" s="151"/>
      <c r="J28" s="149"/>
      <c r="K28" s="39">
        <v>8.3859999999999992</v>
      </c>
      <c r="L28" s="90"/>
      <c r="M28" s="32"/>
      <c r="N28" s="131"/>
      <c r="O28" s="220"/>
      <c r="P28" s="1"/>
      <c r="Q28" s="223"/>
    </row>
    <row r="29" spans="1:17" ht="14.75" customHeight="1">
      <c r="A29" s="37">
        <v>2015</v>
      </c>
      <c r="B29" s="2">
        <v>725.16099999999994</v>
      </c>
      <c r="C29" s="49"/>
      <c r="D29" s="43"/>
      <c r="E29" s="39">
        <v>3.964</v>
      </c>
      <c r="F29" s="151"/>
      <c r="G29" s="152"/>
      <c r="H29" s="2">
        <v>137.90799999999999</v>
      </c>
      <c r="I29" s="151"/>
      <c r="J29" s="152"/>
      <c r="K29" s="39">
        <v>8.9499999999999993</v>
      </c>
      <c r="L29" s="90"/>
      <c r="M29" s="32"/>
      <c r="N29" s="131"/>
      <c r="O29" s="220"/>
      <c r="P29" s="1"/>
      <c r="Q29" s="223"/>
    </row>
    <row r="30" spans="1:17" ht="14.75" customHeight="1">
      <c r="A30" s="37">
        <v>2016</v>
      </c>
      <c r="B30" s="2">
        <v>641.101</v>
      </c>
      <c r="C30" s="49"/>
      <c r="D30" s="43"/>
      <c r="E30" s="39">
        <v>3.4089999999999998</v>
      </c>
      <c r="F30" s="151"/>
      <c r="G30" s="152"/>
      <c r="H30" s="2">
        <v>128.952</v>
      </c>
      <c r="I30" s="151"/>
      <c r="J30" s="152"/>
      <c r="K30" s="39">
        <v>8.3409999999999993</v>
      </c>
      <c r="L30" s="90"/>
      <c r="M30" s="32"/>
      <c r="N30" s="131"/>
      <c r="O30" s="220"/>
      <c r="P30" s="1"/>
      <c r="Q30" s="223"/>
    </row>
    <row r="31" spans="1:17" ht="14.75" customHeight="1">
      <c r="A31" s="37">
        <v>2017</v>
      </c>
      <c r="B31" s="2">
        <v>871.26599999999996</v>
      </c>
      <c r="C31" s="49"/>
      <c r="D31" s="43"/>
      <c r="E31" s="39">
        <v>4.4420000000000002</v>
      </c>
      <c r="F31" s="151"/>
      <c r="G31" s="152"/>
      <c r="H31" s="2">
        <v>140.80600000000001</v>
      </c>
      <c r="I31" s="151"/>
      <c r="J31" s="152"/>
      <c r="K31" s="39">
        <v>8.8719999999999999</v>
      </c>
      <c r="L31" s="90"/>
      <c r="M31" s="32"/>
      <c r="N31" s="220"/>
      <c r="O31" s="220"/>
      <c r="P31" s="1"/>
      <c r="Q31" s="223"/>
    </row>
    <row r="32" spans="1:17" s="31" customFormat="1" ht="14.75" customHeight="1">
      <c r="A32" s="37">
        <v>2018</v>
      </c>
      <c r="B32" s="2">
        <v>943.96400000000006</v>
      </c>
      <c r="C32" s="153"/>
      <c r="D32" s="43"/>
      <c r="E32" s="39">
        <v>4.57</v>
      </c>
      <c r="F32" s="151"/>
      <c r="G32" s="152"/>
      <c r="H32" s="2">
        <v>170.07499999999999</v>
      </c>
      <c r="I32" s="151"/>
      <c r="J32" s="152"/>
      <c r="K32" s="39">
        <v>10.102</v>
      </c>
      <c r="L32" s="90"/>
      <c r="M32" s="42"/>
      <c r="N32" s="220"/>
      <c r="O32" s="220"/>
      <c r="P32" s="1"/>
      <c r="Q32" s="223"/>
    </row>
    <row r="33" spans="1:17" ht="14.75" customHeight="1">
      <c r="A33" s="37">
        <v>2019</v>
      </c>
      <c r="B33" s="2">
        <v>881.00099999999998</v>
      </c>
      <c r="C33" s="49"/>
      <c r="D33" s="43"/>
      <c r="E33" s="39">
        <v>4.09</v>
      </c>
      <c r="F33" s="151"/>
      <c r="G33" s="152"/>
      <c r="H33" s="2">
        <v>168.797</v>
      </c>
      <c r="I33" s="151"/>
      <c r="J33" s="152"/>
      <c r="K33" s="39">
        <v>9.8260000000000005</v>
      </c>
      <c r="L33" s="90"/>
      <c r="M33" s="43"/>
      <c r="N33" s="220"/>
      <c r="O33" s="220"/>
      <c r="P33" s="1"/>
      <c r="Q33" s="223"/>
    </row>
    <row r="34" spans="1:17" ht="14.75" customHeight="1">
      <c r="A34" s="37">
        <v>2020</v>
      </c>
      <c r="B34" s="2">
        <v>1147.6569999999999</v>
      </c>
      <c r="C34" s="49"/>
      <c r="D34" s="43"/>
      <c r="E34" s="39">
        <v>5.3689999999999998</v>
      </c>
      <c r="F34" s="151"/>
      <c r="G34" s="152"/>
      <c r="H34" s="2">
        <v>185.60300000000001</v>
      </c>
      <c r="I34" s="151"/>
      <c r="J34" s="152"/>
      <c r="K34" s="39">
        <v>11.538</v>
      </c>
      <c r="L34" s="90"/>
      <c r="M34" s="43"/>
      <c r="N34" s="220"/>
      <c r="O34" s="220"/>
      <c r="P34" s="1"/>
      <c r="Q34" s="223"/>
    </row>
    <row r="35" spans="1:17" ht="14.75" customHeight="1">
      <c r="A35" s="37">
        <v>2021</v>
      </c>
      <c r="B35" s="2">
        <v>2072.6849999999999</v>
      </c>
      <c r="C35" s="49"/>
      <c r="D35" s="43"/>
      <c r="E35" s="39">
        <v>8.7360000000000007</v>
      </c>
      <c r="F35" s="151"/>
      <c r="G35" s="152"/>
      <c r="H35" s="2">
        <v>304.803</v>
      </c>
      <c r="I35" s="151"/>
      <c r="J35" s="152"/>
      <c r="K35" s="39">
        <v>14.909000000000001</v>
      </c>
      <c r="L35" s="90"/>
      <c r="M35" s="43"/>
      <c r="N35" s="220"/>
      <c r="O35" s="220"/>
      <c r="P35" s="1"/>
      <c r="Q35" s="223"/>
    </row>
    <row r="36" spans="1:17" ht="14.75" customHeight="1">
      <c r="A36" s="37">
        <v>2022</v>
      </c>
      <c r="B36" s="2">
        <v>1282.6489999999999</v>
      </c>
      <c r="C36" s="49"/>
      <c r="D36" s="43"/>
      <c r="E36" s="39">
        <v>4.923</v>
      </c>
      <c r="F36" s="151"/>
      <c r="G36" s="152"/>
      <c r="H36" s="2">
        <v>336.29700000000003</v>
      </c>
      <c r="I36" s="151"/>
      <c r="J36" s="149"/>
      <c r="K36" s="39">
        <v>12.776999999999999</v>
      </c>
      <c r="L36" s="90"/>
      <c r="M36" s="43"/>
      <c r="N36" s="220"/>
      <c r="O36" s="220"/>
      <c r="P36" s="1"/>
      <c r="Q36" s="223"/>
    </row>
    <row r="37" spans="1:17" ht="14.75" customHeight="1">
      <c r="A37" s="37">
        <v>2023</v>
      </c>
      <c r="B37" s="2">
        <v>976.22</v>
      </c>
      <c r="C37" s="49"/>
      <c r="D37" s="43"/>
      <c r="E37" s="39">
        <v>3.51</v>
      </c>
      <c r="F37" s="151"/>
      <c r="G37" s="152"/>
      <c r="H37" s="2">
        <v>210.65799999999999</v>
      </c>
      <c r="I37" s="151"/>
      <c r="J37" s="152"/>
      <c r="K37" s="39">
        <v>9.6790000000000003</v>
      </c>
      <c r="L37" s="90"/>
      <c r="M37" s="43"/>
      <c r="N37" s="220"/>
      <c r="O37" s="220"/>
      <c r="P37" s="1"/>
      <c r="Q37" s="223"/>
    </row>
    <row r="38" spans="1:17" ht="14.75" customHeight="1">
      <c r="A38" s="37">
        <v>2024</v>
      </c>
      <c r="B38" s="2">
        <v>1286.2280000000001</v>
      </c>
      <c r="C38" s="49"/>
      <c r="D38" s="43"/>
      <c r="E38" s="39">
        <v>4.3899999999999997</v>
      </c>
      <c r="F38" s="151"/>
      <c r="G38" s="152"/>
      <c r="H38" s="2">
        <v>202.11</v>
      </c>
      <c r="I38" s="151"/>
      <c r="J38" s="152"/>
      <c r="K38" s="39">
        <v>8.3309999999999995</v>
      </c>
      <c r="L38" s="90"/>
      <c r="M38" s="43"/>
      <c r="N38" s="220"/>
      <c r="O38" s="220"/>
      <c r="P38" s="1"/>
      <c r="Q38" s="223"/>
    </row>
    <row r="39" spans="1:17" ht="14.75" customHeight="1">
      <c r="A39" s="37">
        <v>2025</v>
      </c>
      <c r="B39" s="2">
        <v>1635.0239999999999</v>
      </c>
      <c r="C39" s="49"/>
      <c r="D39" s="149"/>
      <c r="E39" s="39">
        <v>5.3250000000000002</v>
      </c>
      <c r="F39" s="151"/>
      <c r="G39" s="149"/>
      <c r="H39" s="2">
        <v>270.43799999999999</v>
      </c>
      <c r="I39" s="151"/>
      <c r="J39" s="149"/>
      <c r="K39" s="39">
        <v>10.182</v>
      </c>
      <c r="L39" s="90"/>
      <c r="M39" s="43"/>
      <c r="N39" s="220"/>
      <c r="O39" s="220"/>
      <c r="P39" s="1"/>
      <c r="Q39" s="223"/>
    </row>
    <row r="40" spans="1:17" ht="14.75" customHeight="1">
      <c r="A40" s="37">
        <v>2026</v>
      </c>
      <c r="B40" s="2">
        <v>1698.191</v>
      </c>
      <c r="C40" s="49"/>
      <c r="D40" s="149"/>
      <c r="E40" s="39">
        <v>5.2619999999999996</v>
      </c>
      <c r="F40" s="151"/>
      <c r="G40" s="149"/>
      <c r="H40" s="2">
        <v>319.72500000000002</v>
      </c>
      <c r="I40" s="151"/>
      <c r="J40" s="149"/>
      <c r="K40" s="39">
        <v>11.621</v>
      </c>
      <c r="L40" s="90"/>
      <c r="M40" s="43"/>
      <c r="N40" s="220"/>
      <c r="O40" s="220"/>
      <c r="P40" s="1"/>
      <c r="Q40" s="223"/>
    </row>
    <row r="41" spans="1:17" ht="14.75" customHeight="1">
      <c r="A41" s="37">
        <v>2027</v>
      </c>
      <c r="B41" s="2">
        <v>1637.4749999999999</v>
      </c>
      <c r="C41" s="49"/>
      <c r="D41" s="149"/>
      <c r="E41" s="39">
        <v>4.8659999999999997</v>
      </c>
      <c r="F41" s="151"/>
      <c r="G41" s="149"/>
      <c r="H41" s="2">
        <v>321.447</v>
      </c>
      <c r="I41" s="151"/>
      <c r="J41" s="149"/>
      <c r="K41" s="39">
        <v>10.907999999999999</v>
      </c>
      <c r="L41" s="90"/>
      <c r="M41" s="43"/>
      <c r="N41" s="220"/>
      <c r="O41" s="220"/>
    </row>
    <row r="42" spans="1:17" ht="14.75" customHeight="1">
      <c r="A42" s="37">
        <v>2028</v>
      </c>
      <c r="B42" s="2">
        <v>1550.4680000000001</v>
      </c>
      <c r="C42" s="49"/>
      <c r="D42" s="149"/>
      <c r="E42" s="39">
        <v>4.43</v>
      </c>
      <c r="F42" s="151"/>
      <c r="G42" s="149"/>
      <c r="H42" s="2">
        <v>304.38400000000001</v>
      </c>
      <c r="I42" s="151"/>
      <c r="J42" s="149"/>
      <c r="K42" s="39">
        <v>9.9990000000000006</v>
      </c>
      <c r="L42" s="90"/>
      <c r="M42" s="43"/>
      <c r="N42" s="220"/>
      <c r="O42" s="220"/>
    </row>
    <row r="43" spans="1:17" ht="14.75" customHeight="1">
      <c r="A43" s="37">
        <v>2029</v>
      </c>
      <c r="B43" s="2">
        <v>1522.8810000000001</v>
      </c>
      <c r="C43" s="49"/>
      <c r="D43" s="149"/>
      <c r="E43" s="39">
        <v>4.1890000000000001</v>
      </c>
      <c r="F43" s="151"/>
      <c r="G43" s="149"/>
      <c r="H43" s="2">
        <v>290.01400000000001</v>
      </c>
      <c r="I43" s="151"/>
      <c r="J43" s="149"/>
      <c r="K43" s="39">
        <v>9.0820000000000007</v>
      </c>
      <c r="L43" s="90"/>
      <c r="M43" s="43"/>
    </row>
    <row r="44" spans="1:17" ht="14.75" customHeight="1">
      <c r="A44" s="37">
        <v>2030</v>
      </c>
      <c r="B44" s="2">
        <v>1530.4639999999999</v>
      </c>
      <c r="C44" s="49"/>
      <c r="D44" s="49"/>
      <c r="E44" s="39">
        <v>4.0549999999999997</v>
      </c>
      <c r="F44" s="38"/>
      <c r="G44" s="49"/>
      <c r="H44" s="2">
        <v>285.64100000000002</v>
      </c>
      <c r="I44" s="38"/>
      <c r="J44" s="49"/>
      <c r="K44" s="39">
        <v>8.5549999999999997</v>
      </c>
      <c r="L44" s="93"/>
      <c r="M44" s="43"/>
    </row>
    <row r="45" spans="1:17" ht="14.75" customHeight="1">
      <c r="A45" s="37">
        <v>2031</v>
      </c>
      <c r="B45" s="2">
        <v>1559.4459999999999</v>
      </c>
      <c r="C45" s="49"/>
      <c r="D45" s="49"/>
      <c r="E45" s="39">
        <v>3.9809999999999999</v>
      </c>
      <c r="F45" s="38"/>
      <c r="G45" s="49"/>
      <c r="H45" s="2">
        <v>287.62400000000002</v>
      </c>
      <c r="I45" s="38"/>
      <c r="J45" s="49"/>
      <c r="K45" s="39">
        <v>8.31</v>
      </c>
      <c r="L45" s="93"/>
      <c r="M45" s="43"/>
    </row>
    <row r="46" spans="1:17" ht="14.75" customHeight="1">
      <c r="A46" s="37">
        <v>2032</v>
      </c>
      <c r="B46" s="2">
        <v>1600.81</v>
      </c>
      <c r="C46" s="49"/>
      <c r="D46" s="49"/>
      <c r="E46" s="39">
        <v>3.9380000000000002</v>
      </c>
      <c r="F46" s="38"/>
      <c r="G46" s="49"/>
      <c r="H46" s="2">
        <v>293.69099999999997</v>
      </c>
      <c r="I46" s="38"/>
      <c r="J46" s="49"/>
      <c r="K46" s="39">
        <v>8.1709999999999994</v>
      </c>
      <c r="L46" s="93"/>
      <c r="M46" s="43"/>
    </row>
    <row r="47" spans="1:17" ht="14.75" customHeight="1">
      <c r="A47" s="37">
        <v>2033</v>
      </c>
      <c r="B47" s="2">
        <v>1650.213</v>
      </c>
      <c r="C47" s="49"/>
      <c r="D47" s="49"/>
      <c r="E47" s="39">
        <v>3.9119999999999999</v>
      </c>
      <c r="F47" s="38"/>
      <c r="G47" s="49"/>
      <c r="H47" s="2">
        <v>302.13299999999998</v>
      </c>
      <c r="I47" s="38"/>
      <c r="J47" s="49"/>
      <c r="K47" s="39">
        <v>8.07</v>
      </c>
      <c r="L47" s="93"/>
      <c r="M47" s="43"/>
    </row>
    <row r="48" spans="1:17" ht="14.75" customHeight="1">
      <c r="A48" s="37">
        <v>2034</v>
      </c>
      <c r="B48" s="2">
        <v>1706.154</v>
      </c>
      <c r="C48" s="49"/>
      <c r="D48" s="49"/>
      <c r="E48" s="39">
        <v>3.8969999999999998</v>
      </c>
      <c r="F48" s="38"/>
      <c r="G48" s="49"/>
      <c r="H48" s="2">
        <v>312.20699999999999</v>
      </c>
      <c r="I48" s="38"/>
      <c r="J48" s="49"/>
      <c r="K48" s="39">
        <v>8</v>
      </c>
      <c r="L48" s="93"/>
      <c r="M48" s="43"/>
    </row>
    <row r="49" spans="1:13" ht="14.75" customHeight="1">
      <c r="A49" s="37">
        <v>2035</v>
      </c>
      <c r="B49" s="2">
        <v>1767.0340000000001</v>
      </c>
      <c r="C49" s="49"/>
      <c r="D49" s="49"/>
      <c r="E49" s="39">
        <v>3.8889999999999998</v>
      </c>
      <c r="F49" s="38"/>
      <c r="G49" s="49"/>
      <c r="H49" s="2">
        <v>323.45</v>
      </c>
      <c r="I49" s="38"/>
      <c r="J49" s="49"/>
      <c r="K49" s="39">
        <v>7.9429999999999996</v>
      </c>
      <c r="L49" s="93"/>
      <c r="M49" s="43"/>
    </row>
    <row r="50" spans="1:13" ht="14.75" customHeight="1">
      <c r="A50" s="45">
        <v>2036</v>
      </c>
      <c r="B50" s="52">
        <v>1830.278</v>
      </c>
      <c r="C50" s="154"/>
      <c r="D50" s="155"/>
      <c r="E50" s="47">
        <v>3.8820000000000001</v>
      </c>
      <c r="F50" s="46"/>
      <c r="G50" s="155"/>
      <c r="H50" s="52">
        <v>335.49900000000002</v>
      </c>
      <c r="I50" s="46"/>
      <c r="J50" s="155"/>
      <c r="K50" s="47">
        <v>7.8959999999999999</v>
      </c>
      <c r="L50" s="94"/>
      <c r="M50" s="43"/>
    </row>
    <row r="51" spans="1:13" ht="14.75" customHeight="1">
      <c r="A51" s="91"/>
      <c r="B51" s="79"/>
      <c r="C51" s="79"/>
      <c r="D51" s="92"/>
      <c r="E51" s="89"/>
      <c r="F51" s="92"/>
      <c r="G51" s="92"/>
      <c r="H51" s="96"/>
      <c r="I51" s="97"/>
      <c r="J51" s="92"/>
      <c r="K51" s="78"/>
      <c r="L51" s="84"/>
      <c r="M51" s="32"/>
    </row>
    <row r="52" spans="1:13" ht="14.75" customHeight="1">
      <c r="A52" s="252" t="s">
        <v>145</v>
      </c>
      <c r="B52" s="252"/>
      <c r="C52" s="252"/>
      <c r="D52" s="252"/>
      <c r="E52" s="252"/>
      <c r="F52" s="252"/>
      <c r="G52" s="252"/>
      <c r="H52" s="252"/>
      <c r="I52" s="252"/>
      <c r="J52" s="252"/>
      <c r="K52" s="252"/>
      <c r="L52" s="252"/>
      <c r="M52" s="185"/>
    </row>
    <row r="53" spans="1:13" s="4" customFormat="1" ht="28.25" customHeight="1">
      <c r="A53" s="253" t="s">
        <v>146</v>
      </c>
      <c r="B53" s="253"/>
      <c r="C53" s="253"/>
      <c r="D53" s="253"/>
      <c r="E53" s="253"/>
      <c r="F53" s="253"/>
      <c r="G53" s="253"/>
      <c r="H53" s="253"/>
      <c r="I53" s="253"/>
      <c r="J53" s="253"/>
      <c r="K53" s="253"/>
      <c r="L53" s="253"/>
      <c r="M53" s="186"/>
    </row>
    <row r="54" spans="1:13" s="4" customFormat="1" ht="28.25" customHeight="1">
      <c r="A54" s="253" t="s">
        <v>147</v>
      </c>
      <c r="B54" s="253"/>
      <c r="C54" s="253"/>
      <c r="D54" s="253"/>
      <c r="E54" s="253"/>
      <c r="F54" s="253"/>
      <c r="G54" s="253"/>
      <c r="H54" s="253"/>
      <c r="I54" s="253"/>
      <c r="J54" s="253"/>
      <c r="K54" s="253"/>
      <c r="L54" s="253"/>
      <c r="M54" s="186"/>
    </row>
    <row r="55" spans="1:13" s="4" customFormat="1" ht="28.25" customHeight="1">
      <c r="A55" s="253" t="s">
        <v>148</v>
      </c>
      <c r="B55" s="254"/>
      <c r="C55" s="254"/>
      <c r="D55" s="254"/>
      <c r="E55" s="254"/>
      <c r="F55" s="254"/>
      <c r="G55" s="254"/>
      <c r="H55" s="254"/>
      <c r="I55" s="254"/>
      <c r="J55" s="254"/>
      <c r="K55" s="254"/>
      <c r="L55" s="254"/>
      <c r="M55" s="190"/>
    </row>
    <row r="56" spans="1:13" s="4" customFormat="1" ht="28.25" customHeight="1">
      <c r="A56" s="253" t="s">
        <v>149</v>
      </c>
      <c r="B56" s="253"/>
      <c r="C56" s="253"/>
      <c r="D56" s="253"/>
      <c r="E56" s="253"/>
      <c r="F56" s="253"/>
      <c r="G56" s="253"/>
      <c r="H56" s="253"/>
      <c r="I56" s="253"/>
      <c r="J56" s="253"/>
      <c r="K56" s="253"/>
      <c r="L56" s="253"/>
      <c r="M56" s="190"/>
    </row>
    <row r="57" spans="1:13" s="4" customFormat="1" ht="28.25" customHeight="1">
      <c r="A57" s="253" t="s">
        <v>150</v>
      </c>
      <c r="B57" s="253"/>
      <c r="C57" s="253"/>
      <c r="D57" s="253"/>
      <c r="E57" s="253"/>
      <c r="F57" s="253"/>
      <c r="G57" s="253"/>
      <c r="H57" s="253"/>
      <c r="I57" s="253"/>
      <c r="J57" s="253"/>
      <c r="K57" s="253"/>
      <c r="L57" s="253"/>
      <c r="M57" s="190"/>
    </row>
    <row r="58" spans="1:13" s="4" customFormat="1" ht="28.25" customHeight="1">
      <c r="A58" s="253" t="s">
        <v>151</v>
      </c>
      <c r="B58" s="254"/>
      <c r="C58" s="254"/>
      <c r="D58" s="254"/>
      <c r="E58" s="254"/>
      <c r="F58" s="254"/>
      <c r="G58" s="254"/>
      <c r="H58" s="254"/>
      <c r="I58" s="254"/>
      <c r="J58" s="254"/>
      <c r="K58" s="254"/>
      <c r="L58" s="254"/>
      <c r="M58" s="186"/>
    </row>
    <row r="59" spans="1:13" s="4" customFormat="1" ht="42" customHeight="1">
      <c r="A59" s="251" t="s">
        <v>152</v>
      </c>
      <c r="B59" s="251"/>
      <c r="C59" s="251"/>
      <c r="D59" s="251"/>
      <c r="E59" s="251"/>
      <c r="F59" s="251"/>
      <c r="G59" s="251"/>
      <c r="H59" s="251"/>
      <c r="I59" s="251"/>
      <c r="J59" s="251"/>
      <c r="K59" s="251"/>
      <c r="L59" s="251"/>
      <c r="M59" s="186"/>
    </row>
    <row r="60" spans="1:13" ht="14.75" customHeight="1">
      <c r="A60" s="95"/>
      <c r="B60" s="95"/>
      <c r="C60" s="95"/>
      <c r="D60" s="95"/>
      <c r="E60" s="95"/>
      <c r="F60" s="95"/>
      <c r="G60" s="95"/>
      <c r="H60" s="95"/>
      <c r="I60" s="95"/>
      <c r="J60" s="95"/>
      <c r="K60" s="95"/>
      <c r="L60" s="95"/>
    </row>
    <row r="61" spans="1:13" ht="14.75" customHeight="1"/>
    <row r="62" spans="1:13" ht="14.75" customHeight="1">
      <c r="A62" s="239" t="s">
        <v>25</v>
      </c>
      <c r="B62" s="239"/>
      <c r="C62" s="41"/>
    </row>
    <row r="63" spans="1:13">
      <c r="A63" s="37"/>
    </row>
  </sheetData>
  <mergeCells count="15">
    <mergeCell ref="H7:L7"/>
    <mergeCell ref="B8:F8"/>
    <mergeCell ref="K8:L8"/>
    <mergeCell ref="B9:C9"/>
    <mergeCell ref="E9:F9"/>
    <mergeCell ref="H9:I9"/>
    <mergeCell ref="K9:L9"/>
    <mergeCell ref="A59:L59"/>
    <mergeCell ref="A52:L52"/>
    <mergeCell ref="A53:L53"/>
    <mergeCell ref="A54:L54"/>
    <mergeCell ref="A55:L55"/>
    <mergeCell ref="A57:L57"/>
    <mergeCell ref="A58:L58"/>
    <mergeCell ref="A56:L56"/>
  </mergeCells>
  <hyperlinks>
    <hyperlink ref="A62" location="Contents!A1" display="Back to Table of Contents" xr:uid="{0E122188-EAA6-4075-9C22-B91BEAFA4CCF}"/>
    <hyperlink ref="A2" r:id="rId1" xr:uid="{3527BA4F-893A-6F48-B780-77F16CBA77BE}"/>
  </hyperlinks>
  <pageMargins left="0.7" right="0.7" top="0.75" bottom="0.75" header="0.3" footer="0.3"/>
  <pageSetup orientation="portrait" horizontalDpi="4294967295" verticalDpi="4294967295"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7E2E7-EEA7-43FE-AD77-FF1F47906D9A}">
  <sheetPr codeName="Sheet7"/>
  <dimension ref="A1:BR77"/>
  <sheetViews>
    <sheetView zoomScaleNormal="100" workbookViewId="0">
      <pane xSplit="2" topLeftCell="C1" activePane="topRight" state="frozen"/>
      <selection activeCell="AW55" sqref="AW55"/>
      <selection pane="topRight" activeCell="C1" sqref="C1"/>
    </sheetView>
  </sheetViews>
  <sheetFormatPr baseColWidth="10" defaultColWidth="8.5" defaultRowHeight="14"/>
  <cols>
    <col min="1" max="1" width="23.5" style="1" customWidth="1"/>
    <col min="2" max="2" width="60.5" style="1" customWidth="1"/>
    <col min="3" max="3" width="14.5" style="1" customWidth="1"/>
    <col min="4" max="37" width="8.5" style="1"/>
    <col min="38" max="38" width="10" style="1" bestFit="1" customWidth="1"/>
    <col min="39" max="55" width="8.5" style="1"/>
    <col min="56" max="56" width="9.5" style="1" bestFit="1" customWidth="1"/>
    <col min="57" max="57" width="10.6640625" style="1" bestFit="1" customWidth="1"/>
    <col min="58" max="66" width="8.5" style="1"/>
    <col min="67" max="67" width="8.5" style="1" customWidth="1"/>
    <col min="68" max="69" width="13.5" style="1" bestFit="1" customWidth="1"/>
    <col min="70" max="16384" width="8.5" style="1"/>
  </cols>
  <sheetData>
    <row r="1" spans="1:70">
      <c r="A1" s="55" t="s">
        <v>307</v>
      </c>
    </row>
    <row r="2" spans="1:70">
      <c r="A2" s="233" t="s">
        <v>308</v>
      </c>
    </row>
    <row r="5" spans="1:70">
      <c r="A5" s="260" t="s">
        <v>153</v>
      </c>
      <c r="B5" s="260"/>
      <c r="C5" s="260"/>
      <c r="D5" s="260"/>
      <c r="E5" s="260"/>
      <c r="F5" s="260"/>
      <c r="G5" s="260"/>
      <c r="H5" s="69"/>
      <c r="I5" s="69"/>
      <c r="J5" s="69"/>
      <c r="K5" s="69"/>
      <c r="L5" s="69"/>
      <c r="M5" s="69"/>
      <c r="N5" s="69"/>
      <c r="O5" s="69"/>
      <c r="P5" s="69"/>
      <c r="Q5" s="69"/>
      <c r="R5" s="69"/>
      <c r="S5" s="69"/>
      <c r="T5" s="69"/>
      <c r="U5" s="69"/>
      <c r="V5" s="69"/>
      <c r="W5" s="69"/>
      <c r="X5" s="69"/>
      <c r="Y5" s="69"/>
      <c r="Z5" s="69"/>
      <c r="AA5" s="69"/>
      <c r="AB5" s="69"/>
      <c r="AC5" s="69"/>
      <c r="AD5" s="69"/>
      <c r="AE5" s="69"/>
      <c r="AF5" s="69"/>
      <c r="AG5" s="69"/>
      <c r="AH5" s="69"/>
      <c r="AI5" s="69"/>
      <c r="AJ5" s="69"/>
      <c r="AK5" s="69"/>
      <c r="AL5" s="69"/>
      <c r="AM5" s="69"/>
      <c r="AN5" s="69"/>
      <c r="AO5" s="69"/>
      <c r="AP5" s="69"/>
      <c r="AQ5" s="69"/>
      <c r="AR5" s="69"/>
      <c r="AS5" s="69"/>
      <c r="AT5" s="69"/>
      <c r="AU5" s="69"/>
      <c r="AV5" s="69"/>
      <c r="AW5" s="69"/>
      <c r="AX5" s="69"/>
      <c r="AY5" s="69"/>
      <c r="AZ5" s="69"/>
      <c r="BA5" s="69"/>
      <c r="BB5" s="69"/>
      <c r="BC5" s="69"/>
      <c r="BD5" s="69"/>
      <c r="BE5" s="69"/>
      <c r="BF5" s="69"/>
      <c r="BG5" s="69"/>
      <c r="BH5" s="69"/>
      <c r="BI5" s="69"/>
      <c r="BJ5" s="69"/>
      <c r="BK5" s="69"/>
      <c r="BL5" s="69"/>
      <c r="BM5" s="69"/>
      <c r="BN5" s="69"/>
      <c r="BO5" s="69"/>
      <c r="BP5" s="78"/>
      <c r="BQ5" s="73"/>
      <c r="BR5" s="73"/>
    </row>
    <row r="6" spans="1:70">
      <c r="A6" s="179" t="s">
        <v>3</v>
      </c>
      <c r="B6" s="70"/>
      <c r="C6" s="77"/>
      <c r="D6" s="77"/>
      <c r="E6" s="77"/>
      <c r="F6" s="77"/>
      <c r="G6" s="77"/>
      <c r="H6" s="77"/>
      <c r="I6" s="77"/>
      <c r="J6" s="77"/>
      <c r="K6" s="77"/>
      <c r="L6" s="77"/>
      <c r="M6" s="77"/>
      <c r="N6" s="77"/>
      <c r="O6" s="77"/>
      <c r="P6" s="77"/>
      <c r="Q6" s="77"/>
      <c r="R6" s="77"/>
      <c r="S6" s="77"/>
      <c r="T6" s="77"/>
      <c r="U6" s="77"/>
      <c r="V6" s="77"/>
      <c r="W6" s="77"/>
      <c r="X6" s="77"/>
      <c r="Y6" s="77"/>
      <c r="Z6" s="77"/>
      <c r="AA6" s="77"/>
      <c r="AB6" s="77"/>
      <c r="AC6" s="77"/>
      <c r="AD6" s="77"/>
      <c r="AE6" s="77"/>
      <c r="AF6" s="77"/>
      <c r="AG6" s="77"/>
      <c r="AH6" s="77"/>
      <c r="AI6" s="77"/>
      <c r="AJ6" s="77"/>
      <c r="AK6" s="77"/>
      <c r="AL6" s="77"/>
      <c r="AM6" s="77"/>
      <c r="AN6" s="77"/>
      <c r="AO6" s="77"/>
      <c r="AP6" s="77"/>
      <c r="AQ6" s="77"/>
      <c r="AR6" s="77"/>
      <c r="AS6" s="77"/>
      <c r="AT6" s="77"/>
      <c r="AU6" s="77"/>
      <c r="AV6" s="77"/>
      <c r="AW6" s="77"/>
      <c r="AX6" s="77"/>
      <c r="AY6" s="77"/>
      <c r="AZ6" s="77"/>
      <c r="BA6" s="77"/>
      <c r="BB6" s="69"/>
      <c r="BC6" s="69"/>
      <c r="BD6" s="69"/>
      <c r="BE6" s="69"/>
      <c r="BF6" s="77"/>
      <c r="BG6" s="77"/>
      <c r="BH6" s="77"/>
      <c r="BI6" s="77"/>
      <c r="BJ6" s="77"/>
      <c r="BK6" s="77"/>
      <c r="BL6" s="77"/>
      <c r="BM6" s="77"/>
      <c r="BN6" s="69"/>
      <c r="BO6" s="77"/>
      <c r="BP6" s="77"/>
      <c r="BQ6" s="73"/>
      <c r="BR6" s="73"/>
    </row>
    <row r="7" spans="1:70">
      <c r="A7" s="177"/>
      <c r="B7" s="177"/>
      <c r="C7" s="75" t="s">
        <v>5</v>
      </c>
      <c r="D7" s="75"/>
      <c r="E7" s="75"/>
      <c r="F7" s="75"/>
      <c r="G7" s="75"/>
      <c r="H7" s="75"/>
      <c r="I7" s="75"/>
      <c r="J7" s="75"/>
      <c r="K7" s="75"/>
      <c r="L7" s="75"/>
      <c r="M7" s="75"/>
      <c r="N7" s="75"/>
      <c r="O7" s="75"/>
      <c r="P7" s="75"/>
      <c r="Q7" s="75"/>
      <c r="R7" s="75"/>
      <c r="S7" s="75"/>
      <c r="T7" s="75"/>
      <c r="U7" s="75"/>
      <c r="V7" s="75"/>
      <c r="W7" s="75"/>
      <c r="X7" s="75"/>
      <c r="Y7" s="75"/>
      <c r="Z7" s="75"/>
      <c r="AA7" s="75"/>
      <c r="AB7" s="75"/>
      <c r="AC7" s="75"/>
      <c r="AD7" s="75"/>
      <c r="AE7" s="75"/>
      <c r="AF7" s="75"/>
      <c r="AG7" s="75"/>
      <c r="AH7" s="75"/>
      <c r="AI7" s="75"/>
      <c r="AJ7" s="75"/>
      <c r="AK7" s="75"/>
      <c r="AL7" s="75"/>
      <c r="AM7" s="75"/>
      <c r="AN7" s="75"/>
      <c r="AO7" s="75"/>
      <c r="AP7" s="75"/>
      <c r="AQ7" s="75"/>
      <c r="AR7" s="75"/>
      <c r="AS7" s="75"/>
      <c r="AT7" s="75"/>
      <c r="AU7" s="75"/>
      <c r="AV7" s="75"/>
      <c r="AW7" s="75"/>
      <c r="AX7" s="75"/>
      <c r="AY7" s="75"/>
      <c r="AZ7" s="75"/>
      <c r="BA7" s="75"/>
      <c r="BB7" s="180"/>
      <c r="BC7" s="180"/>
      <c r="BD7" s="180"/>
      <c r="BE7" s="180"/>
      <c r="BF7" s="98" t="s">
        <v>154</v>
      </c>
      <c r="BG7" s="75"/>
      <c r="BH7" s="75"/>
      <c r="BI7" s="75"/>
      <c r="BJ7" s="75"/>
      <c r="BK7" s="75"/>
      <c r="BL7" s="75"/>
      <c r="BM7" s="75"/>
      <c r="BN7" s="99"/>
      <c r="BO7" s="75"/>
      <c r="BP7" s="100"/>
      <c r="BQ7" s="180"/>
      <c r="BR7" s="73"/>
    </row>
    <row r="8" spans="1:70">
      <c r="A8" s="181" t="s">
        <v>155</v>
      </c>
      <c r="B8" s="179" t="s">
        <v>156</v>
      </c>
      <c r="C8" s="101">
        <v>1982</v>
      </c>
      <c r="D8" s="101">
        <v>1983</v>
      </c>
      <c r="E8" s="101">
        <v>1984</v>
      </c>
      <c r="F8" s="101">
        <v>1985</v>
      </c>
      <c r="G8" s="101">
        <v>1986</v>
      </c>
      <c r="H8" s="101">
        <v>1987</v>
      </c>
      <c r="I8" s="101">
        <v>1988</v>
      </c>
      <c r="J8" s="101">
        <v>1989</v>
      </c>
      <c r="K8" s="101">
        <v>1990</v>
      </c>
      <c r="L8" s="101">
        <v>1991</v>
      </c>
      <c r="M8" s="101">
        <v>1992</v>
      </c>
      <c r="N8" s="101">
        <v>1993</v>
      </c>
      <c r="O8" s="101">
        <v>1994</v>
      </c>
      <c r="P8" s="101">
        <v>1995</v>
      </c>
      <c r="Q8" s="101">
        <v>1996</v>
      </c>
      <c r="R8" s="101">
        <v>1997</v>
      </c>
      <c r="S8" s="101">
        <v>1998</v>
      </c>
      <c r="T8" s="101">
        <v>1999</v>
      </c>
      <c r="U8" s="101">
        <v>2000</v>
      </c>
      <c r="V8" s="101">
        <v>2001</v>
      </c>
      <c r="W8" s="101">
        <v>2002</v>
      </c>
      <c r="X8" s="101">
        <v>2003</v>
      </c>
      <c r="Y8" s="101">
        <v>2004</v>
      </c>
      <c r="Z8" s="101">
        <v>2005</v>
      </c>
      <c r="AA8" s="101">
        <v>2006</v>
      </c>
      <c r="AB8" s="101">
        <v>2007</v>
      </c>
      <c r="AC8" s="101">
        <v>2008</v>
      </c>
      <c r="AD8" s="101">
        <v>2009</v>
      </c>
      <c r="AE8" s="101">
        <v>2010</v>
      </c>
      <c r="AF8" s="101">
        <v>2011</v>
      </c>
      <c r="AG8" s="101">
        <v>2012</v>
      </c>
      <c r="AH8" s="101">
        <v>2013</v>
      </c>
      <c r="AI8" s="101">
        <v>2014</v>
      </c>
      <c r="AJ8" s="101">
        <v>2015</v>
      </c>
      <c r="AK8" s="101">
        <v>2016</v>
      </c>
      <c r="AL8" s="101">
        <v>2017</v>
      </c>
      <c r="AM8" s="101">
        <v>2018</v>
      </c>
      <c r="AN8" s="101">
        <v>2019</v>
      </c>
      <c r="AO8" s="101">
        <v>2020</v>
      </c>
      <c r="AP8" s="101">
        <v>2021</v>
      </c>
      <c r="AQ8" s="101">
        <v>2022</v>
      </c>
      <c r="AR8" s="101">
        <v>2023</v>
      </c>
      <c r="AS8" s="101">
        <v>2024</v>
      </c>
      <c r="AT8" s="101">
        <v>2025</v>
      </c>
      <c r="AU8" s="101">
        <v>2026</v>
      </c>
      <c r="AV8" s="101">
        <v>2027</v>
      </c>
      <c r="AW8" s="101">
        <v>2028</v>
      </c>
      <c r="AX8" s="101">
        <v>2029</v>
      </c>
      <c r="AY8" s="101">
        <v>2030</v>
      </c>
      <c r="AZ8" s="101">
        <v>2031</v>
      </c>
      <c r="BA8" s="101">
        <v>2032</v>
      </c>
      <c r="BB8" s="101">
        <v>2033</v>
      </c>
      <c r="BC8" s="101">
        <v>2034</v>
      </c>
      <c r="BD8" s="101">
        <v>2035</v>
      </c>
      <c r="BE8" s="111">
        <v>2036</v>
      </c>
      <c r="BF8" s="101" t="s">
        <v>157</v>
      </c>
      <c r="BG8" s="101" t="s">
        <v>158</v>
      </c>
      <c r="BH8" s="101" t="s">
        <v>159</v>
      </c>
      <c r="BI8" s="101" t="s">
        <v>160</v>
      </c>
      <c r="BJ8" s="101" t="s">
        <v>161</v>
      </c>
      <c r="BK8" s="101" t="s">
        <v>162</v>
      </c>
      <c r="BL8" s="101" t="s">
        <v>163</v>
      </c>
      <c r="BM8" s="101" t="s">
        <v>164</v>
      </c>
      <c r="BN8" s="101" t="s">
        <v>165</v>
      </c>
      <c r="BO8" s="101" t="s">
        <v>166</v>
      </c>
      <c r="BP8" s="102" t="s">
        <v>167</v>
      </c>
      <c r="BQ8" s="102" t="s">
        <v>168</v>
      </c>
      <c r="BR8" s="73"/>
    </row>
    <row r="9" spans="1:70" ht="15">
      <c r="A9" s="188" t="s">
        <v>169</v>
      </c>
      <c r="B9" s="187" t="s">
        <v>170</v>
      </c>
      <c r="C9" s="40">
        <v>-39</v>
      </c>
      <c r="D9" s="40">
        <v>-95</v>
      </c>
      <c r="E9" s="40">
        <v>-148</v>
      </c>
      <c r="F9" s="40">
        <v>-189</v>
      </c>
      <c r="G9" s="40">
        <v>-244</v>
      </c>
      <c r="H9" s="40">
        <v>-294</v>
      </c>
      <c r="I9" s="40"/>
      <c r="J9" s="40"/>
      <c r="K9" s="40"/>
      <c r="L9" s="40"/>
      <c r="M9" s="40"/>
      <c r="N9" s="40"/>
      <c r="O9" s="40"/>
      <c r="P9" s="40"/>
      <c r="Q9" s="40"/>
      <c r="R9" s="40"/>
      <c r="S9" s="40"/>
      <c r="T9" s="40"/>
      <c r="U9" s="40"/>
      <c r="V9" s="40"/>
      <c r="W9" s="40"/>
      <c r="X9" s="40"/>
      <c r="Y9" s="40"/>
      <c r="Z9" s="40"/>
      <c r="AA9" s="40"/>
      <c r="AB9" s="40"/>
      <c r="AC9" s="40"/>
      <c r="AD9" s="40"/>
      <c r="AE9" s="40"/>
      <c r="AF9" s="40"/>
      <c r="AG9" s="40"/>
      <c r="AH9" s="40"/>
      <c r="AI9" s="40"/>
      <c r="AJ9" s="40"/>
      <c r="AK9" s="40"/>
      <c r="AL9" s="40"/>
      <c r="AM9" s="40"/>
      <c r="AN9" s="40"/>
      <c r="AO9" s="40"/>
      <c r="AP9" s="40"/>
      <c r="AQ9" s="40"/>
      <c r="AR9" s="40"/>
      <c r="AS9" s="40"/>
      <c r="AT9" s="40"/>
      <c r="AU9" s="40"/>
      <c r="AV9" s="40"/>
      <c r="AW9" s="40"/>
      <c r="AX9" s="40"/>
      <c r="AY9" s="40"/>
      <c r="AZ9" s="40"/>
      <c r="BA9" s="40"/>
      <c r="BB9" s="40"/>
      <c r="BC9" s="40"/>
      <c r="BD9" s="40"/>
      <c r="BE9" s="103"/>
      <c r="BF9" s="40">
        <v>-39</v>
      </c>
      <c r="BG9" s="40">
        <v>-95</v>
      </c>
      <c r="BH9" s="40">
        <v>-148</v>
      </c>
      <c r="BI9" s="40">
        <v>-189</v>
      </c>
      <c r="BJ9" s="40">
        <v>-244</v>
      </c>
      <c r="BK9" s="40">
        <v>-294</v>
      </c>
      <c r="BL9" s="40" t="s">
        <v>171</v>
      </c>
      <c r="BM9" s="40" t="s">
        <v>171</v>
      </c>
      <c r="BN9" s="40" t="s">
        <v>171</v>
      </c>
      <c r="BO9" s="40" t="s">
        <v>171</v>
      </c>
      <c r="BP9" s="104">
        <v>-715</v>
      </c>
      <c r="BQ9" s="105" t="s">
        <v>171</v>
      </c>
      <c r="BR9" s="73"/>
    </row>
    <row r="10" spans="1:70" ht="15">
      <c r="A10" s="188" t="s">
        <v>172</v>
      </c>
      <c r="B10" s="187" t="s">
        <v>173</v>
      </c>
      <c r="C10" s="40"/>
      <c r="D10" s="40">
        <v>18</v>
      </c>
      <c r="E10" s="40">
        <v>38</v>
      </c>
      <c r="F10" s="40">
        <v>42</v>
      </c>
      <c r="G10" s="40">
        <v>47</v>
      </c>
      <c r="H10" s="40">
        <v>54</v>
      </c>
      <c r="I10" s="40">
        <v>56</v>
      </c>
      <c r="J10" s="40"/>
      <c r="K10" s="40"/>
      <c r="L10" s="40"/>
      <c r="M10" s="40"/>
      <c r="N10" s="40"/>
      <c r="O10" s="40"/>
      <c r="P10" s="40"/>
      <c r="Q10" s="40"/>
      <c r="R10" s="40"/>
      <c r="S10" s="40"/>
      <c r="T10" s="40"/>
      <c r="U10" s="40"/>
      <c r="V10" s="40"/>
      <c r="W10" s="40"/>
      <c r="X10" s="40"/>
      <c r="Y10" s="40"/>
      <c r="Z10" s="40"/>
      <c r="AA10" s="40"/>
      <c r="AB10" s="40"/>
      <c r="AC10" s="40"/>
      <c r="AD10" s="40"/>
      <c r="AE10" s="40"/>
      <c r="AF10" s="40"/>
      <c r="AG10" s="40"/>
      <c r="AH10" s="40"/>
      <c r="AI10" s="40"/>
      <c r="AJ10" s="40"/>
      <c r="AK10" s="40"/>
      <c r="AL10" s="40"/>
      <c r="AM10" s="40"/>
      <c r="AN10" s="40"/>
      <c r="AO10" s="40"/>
      <c r="AP10" s="40"/>
      <c r="AQ10" s="40"/>
      <c r="AR10" s="40"/>
      <c r="AS10" s="40"/>
      <c r="AT10" s="40"/>
      <c r="AU10" s="40"/>
      <c r="AV10" s="40"/>
      <c r="AW10" s="40"/>
      <c r="AX10" s="40"/>
      <c r="AY10" s="40"/>
      <c r="AZ10" s="40"/>
      <c r="BA10" s="40"/>
      <c r="BB10" s="40"/>
      <c r="BC10" s="40"/>
      <c r="BD10" s="40"/>
      <c r="BE10" s="103"/>
      <c r="BF10" s="40">
        <v>18</v>
      </c>
      <c r="BG10" s="40">
        <v>38</v>
      </c>
      <c r="BH10" s="40">
        <v>42</v>
      </c>
      <c r="BI10" s="40">
        <v>47</v>
      </c>
      <c r="BJ10" s="40">
        <v>54</v>
      </c>
      <c r="BK10" s="40">
        <v>56</v>
      </c>
      <c r="BL10" s="40" t="s">
        <v>171</v>
      </c>
      <c r="BM10" s="40" t="s">
        <v>171</v>
      </c>
      <c r="BN10" s="40" t="s">
        <v>171</v>
      </c>
      <c r="BO10" s="40" t="s">
        <v>171</v>
      </c>
      <c r="BP10" s="104">
        <v>199</v>
      </c>
      <c r="BQ10" s="105" t="s">
        <v>171</v>
      </c>
      <c r="BR10" s="73"/>
    </row>
    <row r="11" spans="1:70" ht="15">
      <c r="A11" s="188" t="s">
        <v>174</v>
      </c>
      <c r="B11" s="187" t="s">
        <v>175</v>
      </c>
      <c r="C11" s="40"/>
      <c r="D11" s="40"/>
      <c r="E11" s="40">
        <v>6.1</v>
      </c>
      <c r="F11" s="40">
        <v>8.6</v>
      </c>
      <c r="G11" s="40">
        <v>8.8000000000000007</v>
      </c>
      <c r="H11" s="40">
        <v>10.7</v>
      </c>
      <c r="I11" s="40">
        <v>22.4</v>
      </c>
      <c r="J11" s="40">
        <v>29.6</v>
      </c>
      <c r="K11" s="106"/>
      <c r="L11" s="106"/>
      <c r="M11" s="106"/>
      <c r="N11" s="106"/>
      <c r="O11" s="106"/>
      <c r="P11" s="106"/>
      <c r="Q11" s="106"/>
      <c r="R11" s="106"/>
      <c r="S11" s="106"/>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40"/>
      <c r="AW11" s="40"/>
      <c r="AX11" s="40"/>
      <c r="AY11" s="40"/>
      <c r="AZ11" s="40"/>
      <c r="BA11" s="40"/>
      <c r="BB11" s="40"/>
      <c r="BC11" s="40"/>
      <c r="BD11" s="40"/>
      <c r="BE11" s="103"/>
      <c r="BF11" s="40">
        <v>6.1</v>
      </c>
      <c r="BG11" s="40">
        <v>8.6</v>
      </c>
      <c r="BH11" s="40">
        <v>8.8000000000000007</v>
      </c>
      <c r="BI11" s="40">
        <v>10.7</v>
      </c>
      <c r="BJ11" s="40">
        <v>22.4</v>
      </c>
      <c r="BK11" s="40">
        <v>29.6</v>
      </c>
      <c r="BL11" s="40" t="s">
        <v>171</v>
      </c>
      <c r="BM11" s="40" t="s">
        <v>171</v>
      </c>
      <c r="BN11" s="40" t="s">
        <v>171</v>
      </c>
      <c r="BO11" s="40" t="s">
        <v>171</v>
      </c>
      <c r="BP11" s="104">
        <v>56.6</v>
      </c>
      <c r="BQ11" s="105" t="s">
        <v>171</v>
      </c>
      <c r="BR11" s="73"/>
    </row>
    <row r="12" spans="1:70" ht="15">
      <c r="A12" s="188" t="s">
        <v>176</v>
      </c>
      <c r="B12" s="187" t="s">
        <v>177</v>
      </c>
      <c r="C12" s="40" t="s">
        <v>178</v>
      </c>
      <c r="D12" s="40"/>
      <c r="E12" s="40">
        <v>1</v>
      </c>
      <c r="F12" s="40">
        <v>11</v>
      </c>
      <c r="G12" s="40">
        <v>17</v>
      </c>
      <c r="H12" s="40">
        <v>22</v>
      </c>
      <c r="I12" s="40">
        <v>25</v>
      </c>
      <c r="J12" s="40">
        <v>27</v>
      </c>
      <c r="K12" s="106"/>
      <c r="L12" s="106"/>
      <c r="M12" s="106"/>
      <c r="N12" s="106"/>
      <c r="O12" s="106"/>
      <c r="P12" s="106"/>
      <c r="Q12" s="106"/>
      <c r="R12" s="106"/>
      <c r="S12" s="106"/>
      <c r="T12" s="40"/>
      <c r="U12" s="40"/>
      <c r="V12" s="40"/>
      <c r="W12" s="40"/>
      <c r="X12" s="40"/>
      <c r="Y12" s="40"/>
      <c r="Z12" s="40"/>
      <c r="AA12" s="40"/>
      <c r="AB12" s="40"/>
      <c r="AC12" s="40"/>
      <c r="AD12" s="40"/>
      <c r="AE12" s="40"/>
      <c r="AF12" s="40"/>
      <c r="AG12" s="40"/>
      <c r="AH12" s="40"/>
      <c r="AI12" s="40"/>
      <c r="AJ12" s="40"/>
      <c r="AK12" s="40"/>
      <c r="AL12" s="40"/>
      <c r="AM12" s="40"/>
      <c r="AN12" s="40"/>
      <c r="AO12" s="40"/>
      <c r="AP12" s="40"/>
      <c r="AQ12" s="40"/>
      <c r="AR12" s="40"/>
      <c r="AS12" s="40"/>
      <c r="AT12" s="40"/>
      <c r="AU12" s="40"/>
      <c r="AV12" s="40"/>
      <c r="AW12" s="40"/>
      <c r="AX12" s="40"/>
      <c r="AY12" s="40"/>
      <c r="AZ12" s="40"/>
      <c r="BA12" s="40"/>
      <c r="BB12" s="40"/>
      <c r="BC12" s="40"/>
      <c r="BD12" s="40"/>
      <c r="BE12" s="103"/>
      <c r="BF12" s="40">
        <v>1</v>
      </c>
      <c r="BG12" s="40">
        <v>11</v>
      </c>
      <c r="BH12" s="40">
        <v>17</v>
      </c>
      <c r="BI12" s="40">
        <v>22</v>
      </c>
      <c r="BJ12" s="40">
        <v>25</v>
      </c>
      <c r="BK12" s="40">
        <v>27</v>
      </c>
      <c r="BL12" s="40" t="s">
        <v>171</v>
      </c>
      <c r="BM12" s="40" t="s">
        <v>171</v>
      </c>
      <c r="BN12" s="40" t="s">
        <v>171</v>
      </c>
      <c r="BO12" s="40" t="s">
        <v>171</v>
      </c>
      <c r="BP12" s="104">
        <v>76</v>
      </c>
      <c r="BQ12" s="105" t="s">
        <v>171</v>
      </c>
      <c r="BR12" s="73"/>
    </row>
    <row r="13" spans="1:70" ht="15">
      <c r="A13" s="188" t="s">
        <v>179</v>
      </c>
      <c r="B13" s="187" t="s">
        <v>180</v>
      </c>
      <c r="C13" s="40"/>
      <c r="D13" s="40"/>
      <c r="E13" s="106"/>
      <c r="F13" s="106"/>
      <c r="G13" s="106"/>
      <c r="H13" s="40">
        <v>11.6</v>
      </c>
      <c r="I13" s="40">
        <v>-1.7</v>
      </c>
      <c r="J13" s="40">
        <v>-9.6</v>
      </c>
      <c r="K13" s="40">
        <v>-1.3</v>
      </c>
      <c r="L13" s="40">
        <v>3.7</v>
      </c>
      <c r="M13" s="40">
        <v>4.5999999999999996</v>
      </c>
      <c r="N13" s="106"/>
      <c r="O13" s="106"/>
      <c r="P13" s="106"/>
      <c r="Q13" s="106"/>
      <c r="R13" s="106"/>
      <c r="S13" s="106"/>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40"/>
      <c r="AX13" s="40"/>
      <c r="AY13" s="40"/>
      <c r="AZ13" s="40"/>
      <c r="BA13" s="40"/>
      <c r="BB13" s="40"/>
      <c r="BC13" s="40"/>
      <c r="BD13" s="40"/>
      <c r="BE13" s="103"/>
      <c r="BF13" s="40">
        <v>11.6</v>
      </c>
      <c r="BG13" s="40">
        <v>-1.7</v>
      </c>
      <c r="BH13" s="40">
        <v>-9.6</v>
      </c>
      <c r="BI13" s="40">
        <v>-1.3</v>
      </c>
      <c r="BJ13" s="40">
        <v>3.7</v>
      </c>
      <c r="BK13" s="40">
        <v>4.5999999999999996</v>
      </c>
      <c r="BL13" s="40" t="s">
        <v>171</v>
      </c>
      <c r="BM13" s="40" t="s">
        <v>171</v>
      </c>
      <c r="BN13" s="40" t="s">
        <v>171</v>
      </c>
      <c r="BO13" s="40" t="s">
        <v>171</v>
      </c>
      <c r="BP13" s="104">
        <v>2.7</v>
      </c>
      <c r="BQ13" s="105" t="s">
        <v>171</v>
      </c>
      <c r="BR13" s="73"/>
    </row>
    <row r="14" spans="1:70" ht="15">
      <c r="A14" s="188" t="s">
        <v>181</v>
      </c>
      <c r="B14" s="187" t="s">
        <v>182</v>
      </c>
      <c r="C14" s="40" t="s">
        <v>183</v>
      </c>
      <c r="D14" s="40"/>
      <c r="E14" s="106"/>
      <c r="F14" s="106"/>
      <c r="G14" s="106"/>
      <c r="H14" s="106"/>
      <c r="I14" s="40">
        <v>9</v>
      </c>
      <c r="J14" s="40">
        <v>14</v>
      </c>
      <c r="K14" s="40">
        <v>15</v>
      </c>
      <c r="L14" s="40">
        <v>14</v>
      </c>
      <c r="M14" s="40">
        <v>11</v>
      </c>
      <c r="N14" s="40">
        <v>8</v>
      </c>
      <c r="O14" s="106"/>
      <c r="P14" s="106"/>
      <c r="Q14" s="106"/>
      <c r="R14" s="106"/>
      <c r="S14" s="106"/>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s="40"/>
      <c r="BE14" s="103"/>
      <c r="BF14" s="40">
        <v>9</v>
      </c>
      <c r="BG14" s="40">
        <v>14</v>
      </c>
      <c r="BH14" s="40">
        <v>15</v>
      </c>
      <c r="BI14" s="40">
        <v>14</v>
      </c>
      <c r="BJ14" s="40">
        <v>11</v>
      </c>
      <c r="BK14" s="40">
        <v>8</v>
      </c>
      <c r="BL14" s="40" t="s">
        <v>171</v>
      </c>
      <c r="BM14" s="40" t="s">
        <v>171</v>
      </c>
      <c r="BN14" s="40" t="s">
        <v>171</v>
      </c>
      <c r="BO14" s="40" t="s">
        <v>171</v>
      </c>
      <c r="BP14" s="104">
        <v>63</v>
      </c>
      <c r="BQ14" s="105" t="s">
        <v>171</v>
      </c>
      <c r="BR14" s="73"/>
    </row>
    <row r="15" spans="1:70" ht="15">
      <c r="A15" s="188" t="s">
        <v>184</v>
      </c>
      <c r="B15" s="187" t="s">
        <v>185</v>
      </c>
      <c r="C15" s="40"/>
      <c r="D15" s="40"/>
      <c r="E15" s="106"/>
      <c r="F15" s="106"/>
      <c r="G15" s="106"/>
      <c r="H15" s="106"/>
      <c r="I15" s="106"/>
      <c r="J15" s="106"/>
      <c r="K15" s="106"/>
      <c r="L15" s="40">
        <v>18</v>
      </c>
      <c r="M15" s="40">
        <v>33</v>
      </c>
      <c r="N15" s="40">
        <v>31</v>
      </c>
      <c r="O15" s="40">
        <v>36</v>
      </c>
      <c r="P15" s="40">
        <v>38</v>
      </c>
      <c r="Q15" s="40">
        <v>33</v>
      </c>
      <c r="R15" s="106"/>
      <c r="S15" s="106"/>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s="40"/>
      <c r="BE15" s="103"/>
      <c r="BF15" s="40">
        <v>18</v>
      </c>
      <c r="BG15" s="40">
        <v>33</v>
      </c>
      <c r="BH15" s="40">
        <v>31</v>
      </c>
      <c r="BI15" s="40">
        <v>36</v>
      </c>
      <c r="BJ15" s="40">
        <v>38</v>
      </c>
      <c r="BK15" s="40">
        <v>33</v>
      </c>
      <c r="BL15" s="40" t="s">
        <v>171</v>
      </c>
      <c r="BM15" s="40" t="s">
        <v>171</v>
      </c>
      <c r="BN15" s="40" t="s">
        <v>171</v>
      </c>
      <c r="BO15" s="40" t="s">
        <v>171</v>
      </c>
      <c r="BP15" s="104">
        <v>156</v>
      </c>
      <c r="BQ15" s="105" t="s">
        <v>171</v>
      </c>
      <c r="BR15" s="73"/>
    </row>
    <row r="16" spans="1:70" ht="15">
      <c r="A16" s="188" t="s">
        <v>186</v>
      </c>
      <c r="B16" s="187" t="s">
        <v>187</v>
      </c>
      <c r="C16" s="40"/>
      <c r="D16" s="40"/>
      <c r="E16" s="106"/>
      <c r="F16" s="106"/>
      <c r="G16" s="106"/>
      <c r="H16" s="106"/>
      <c r="I16" s="106"/>
      <c r="J16" s="106"/>
      <c r="K16" s="106"/>
      <c r="L16" s="106"/>
      <c r="M16" s="106"/>
      <c r="N16" s="106"/>
      <c r="O16" s="40">
        <v>26</v>
      </c>
      <c r="P16" s="40">
        <v>44</v>
      </c>
      <c r="Q16" s="40">
        <v>52</v>
      </c>
      <c r="R16" s="40">
        <v>61</v>
      </c>
      <c r="S16" s="40">
        <v>59</v>
      </c>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s="40"/>
      <c r="BE16" s="103"/>
      <c r="BF16" s="40">
        <v>26</v>
      </c>
      <c r="BG16" s="40">
        <v>44</v>
      </c>
      <c r="BH16" s="40">
        <v>52</v>
      </c>
      <c r="BI16" s="40">
        <v>61</v>
      </c>
      <c r="BJ16" s="40">
        <v>59</v>
      </c>
      <c r="BK16" s="40" t="s">
        <v>171</v>
      </c>
      <c r="BL16" s="40" t="s">
        <v>171</v>
      </c>
      <c r="BM16" s="40" t="s">
        <v>171</v>
      </c>
      <c r="BN16" s="40" t="s">
        <v>171</v>
      </c>
      <c r="BO16" s="40" t="s">
        <v>171</v>
      </c>
      <c r="BP16" s="104">
        <v>242</v>
      </c>
      <c r="BQ16" s="105" t="s">
        <v>171</v>
      </c>
      <c r="BR16" s="73"/>
    </row>
    <row r="17" spans="1:70" ht="15">
      <c r="A17" s="188" t="s">
        <v>188</v>
      </c>
      <c r="B17" s="187" t="s">
        <v>189</v>
      </c>
      <c r="C17" s="40"/>
      <c r="D17" s="40"/>
      <c r="E17" s="40"/>
      <c r="F17" s="40"/>
      <c r="G17" s="40"/>
      <c r="H17" s="40"/>
      <c r="I17" s="40"/>
      <c r="J17" s="40"/>
      <c r="K17" s="40"/>
      <c r="L17" s="40"/>
      <c r="M17" s="40"/>
      <c r="N17" s="40"/>
      <c r="O17" s="40"/>
      <c r="P17" s="40"/>
      <c r="Q17" s="40"/>
      <c r="R17" s="40" t="s">
        <v>190</v>
      </c>
      <c r="S17" s="40">
        <v>-9</v>
      </c>
      <c r="T17" s="40">
        <v>-7</v>
      </c>
      <c r="U17" s="40">
        <v>-23</v>
      </c>
      <c r="V17" s="40">
        <v>-24</v>
      </c>
      <c r="W17" s="40">
        <v>-18</v>
      </c>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0"/>
      <c r="AY17" s="40"/>
      <c r="AZ17" s="40"/>
      <c r="BA17" s="40"/>
      <c r="BB17" s="40"/>
      <c r="BC17" s="40"/>
      <c r="BD17" s="40"/>
      <c r="BE17" s="103"/>
      <c r="BF17" s="40" t="s">
        <v>190</v>
      </c>
      <c r="BG17" s="40">
        <v>-9</v>
      </c>
      <c r="BH17" s="40">
        <v>-7</v>
      </c>
      <c r="BI17" s="40">
        <v>-23</v>
      </c>
      <c r="BJ17" s="40">
        <v>-24</v>
      </c>
      <c r="BK17" s="40">
        <v>-18</v>
      </c>
      <c r="BL17" s="40" t="s">
        <v>171</v>
      </c>
      <c r="BM17" s="40" t="s">
        <v>171</v>
      </c>
      <c r="BN17" s="40" t="s">
        <v>171</v>
      </c>
      <c r="BO17" s="40" t="s">
        <v>171</v>
      </c>
      <c r="BP17" s="104">
        <v>-63</v>
      </c>
      <c r="BQ17" s="105" t="s">
        <v>171</v>
      </c>
      <c r="BR17" s="73"/>
    </row>
    <row r="18" spans="1:70" ht="15">
      <c r="A18" s="188" t="s">
        <v>191</v>
      </c>
      <c r="B18" s="187" t="s">
        <v>192</v>
      </c>
      <c r="C18" s="40"/>
      <c r="D18" s="40"/>
      <c r="E18" s="40"/>
      <c r="F18" s="40"/>
      <c r="G18" s="40"/>
      <c r="H18" s="40"/>
      <c r="I18" s="40"/>
      <c r="J18" s="40"/>
      <c r="K18" s="40"/>
      <c r="L18" s="40"/>
      <c r="M18" s="40"/>
      <c r="N18" s="40"/>
      <c r="O18" s="40"/>
      <c r="P18" s="40"/>
      <c r="Q18" s="40"/>
      <c r="R18" s="40"/>
      <c r="S18" s="40"/>
      <c r="T18" s="40"/>
      <c r="U18" s="40"/>
      <c r="V18" s="40">
        <v>-70.2</v>
      </c>
      <c r="W18" s="40">
        <v>-31.3</v>
      </c>
      <c r="X18" s="40">
        <v>-84</v>
      </c>
      <c r="Y18" s="40">
        <v>-100.7</v>
      </c>
      <c r="Z18" s="40">
        <v>-100.3</v>
      </c>
      <c r="AA18" s="40">
        <v>-125.6</v>
      </c>
      <c r="AB18" s="40">
        <v>-142.1</v>
      </c>
      <c r="AC18" s="40">
        <v>-150.69999999999999</v>
      </c>
      <c r="AD18" s="40">
        <v>-158.19999999999999</v>
      </c>
      <c r="AE18" s="40">
        <v>-175.9</v>
      </c>
      <c r="AF18" s="40">
        <v>-117.3</v>
      </c>
      <c r="AG18" s="40"/>
      <c r="AH18" s="40"/>
      <c r="AI18" s="40"/>
      <c r="AJ18" s="40"/>
      <c r="AK18" s="40"/>
      <c r="AL18" s="40"/>
      <c r="AM18" s="40"/>
      <c r="AN18" s="40"/>
      <c r="AO18" s="40"/>
      <c r="AP18" s="40"/>
      <c r="AQ18" s="40"/>
      <c r="AR18" s="40"/>
      <c r="AS18" s="40"/>
      <c r="AT18" s="40"/>
      <c r="AU18" s="40"/>
      <c r="AV18" s="40"/>
      <c r="AW18" s="40"/>
      <c r="AX18" s="40"/>
      <c r="AY18" s="40"/>
      <c r="AZ18" s="40"/>
      <c r="BA18" s="40"/>
      <c r="BB18" s="40"/>
      <c r="BC18" s="40"/>
      <c r="BD18" s="40"/>
      <c r="BE18" s="103"/>
      <c r="BF18" s="40">
        <v>-70.2</v>
      </c>
      <c r="BG18" s="40">
        <v>-31.3</v>
      </c>
      <c r="BH18" s="40">
        <v>-84</v>
      </c>
      <c r="BI18" s="40">
        <v>-100.7</v>
      </c>
      <c r="BJ18" s="40">
        <v>-100.3</v>
      </c>
      <c r="BK18" s="40">
        <v>-125.6</v>
      </c>
      <c r="BL18" s="40">
        <v>-142.1</v>
      </c>
      <c r="BM18" s="40">
        <v>-150.69999999999999</v>
      </c>
      <c r="BN18" s="40">
        <v>-158.19999999999999</v>
      </c>
      <c r="BO18" s="40">
        <v>-175.9</v>
      </c>
      <c r="BP18" s="104">
        <v>-386.6</v>
      </c>
      <c r="BQ18" s="105">
        <v>-1139.0999999999999</v>
      </c>
      <c r="BR18" s="73"/>
    </row>
    <row r="19" spans="1:70" ht="15">
      <c r="A19" s="188" t="s">
        <v>193</v>
      </c>
      <c r="B19" s="187" t="s">
        <v>194</v>
      </c>
      <c r="C19" s="40"/>
      <c r="D19" s="40"/>
      <c r="E19" s="40"/>
      <c r="F19" s="40"/>
      <c r="G19" s="40"/>
      <c r="H19" s="40"/>
      <c r="I19" s="40"/>
      <c r="J19" s="40"/>
      <c r="K19" s="40"/>
      <c r="L19" s="40"/>
      <c r="M19" s="40"/>
      <c r="N19" s="40"/>
      <c r="O19" s="40"/>
      <c r="P19" s="40"/>
      <c r="Q19" s="40"/>
      <c r="R19" s="40"/>
      <c r="S19" s="40"/>
      <c r="T19" s="40"/>
      <c r="U19" s="40"/>
      <c r="V19" s="40"/>
      <c r="W19" s="40">
        <v>-42.5</v>
      </c>
      <c r="X19" s="40">
        <v>-39.299999999999997</v>
      </c>
      <c r="Y19" s="40">
        <v>-29.1</v>
      </c>
      <c r="Z19" s="40">
        <v>-3.5</v>
      </c>
      <c r="AA19" s="40">
        <v>16.100000000000001</v>
      </c>
      <c r="AB19" s="40">
        <v>16.8</v>
      </c>
      <c r="AC19" s="40">
        <v>16</v>
      </c>
      <c r="AD19" s="40">
        <v>13.7</v>
      </c>
      <c r="AE19" s="40">
        <v>10.1</v>
      </c>
      <c r="AF19" s="40">
        <v>7.2</v>
      </c>
      <c r="AG19" s="40">
        <v>4.7</v>
      </c>
      <c r="AH19" s="40"/>
      <c r="AI19" s="40"/>
      <c r="AJ19" s="40"/>
      <c r="AK19" s="40"/>
      <c r="AL19" s="40"/>
      <c r="AM19" s="40"/>
      <c r="AN19" s="40"/>
      <c r="AO19" s="40"/>
      <c r="AP19" s="40"/>
      <c r="AQ19" s="40"/>
      <c r="AR19" s="40"/>
      <c r="AS19" s="40"/>
      <c r="AT19" s="40"/>
      <c r="AU19" s="40"/>
      <c r="AV19" s="40"/>
      <c r="AW19" s="40"/>
      <c r="AX19" s="40"/>
      <c r="AY19" s="40"/>
      <c r="AZ19" s="40"/>
      <c r="BA19" s="40"/>
      <c r="BB19" s="40"/>
      <c r="BC19" s="40"/>
      <c r="BD19" s="40"/>
      <c r="BE19" s="103"/>
      <c r="BF19" s="40">
        <v>-42.5</v>
      </c>
      <c r="BG19" s="40">
        <v>-39.299999999999997</v>
      </c>
      <c r="BH19" s="40">
        <v>-29.1</v>
      </c>
      <c r="BI19" s="40">
        <v>-3.5</v>
      </c>
      <c r="BJ19" s="40">
        <v>16.100000000000001</v>
      </c>
      <c r="BK19" s="40">
        <v>16.8</v>
      </c>
      <c r="BL19" s="40">
        <v>16</v>
      </c>
      <c r="BM19" s="40">
        <v>13.7</v>
      </c>
      <c r="BN19" s="40">
        <v>10.1</v>
      </c>
      <c r="BO19" s="40">
        <v>7.2</v>
      </c>
      <c r="BP19" s="104">
        <v>-98.4</v>
      </c>
      <c r="BQ19" s="105">
        <v>-34.5</v>
      </c>
      <c r="BR19" s="73"/>
    </row>
    <row r="20" spans="1:70" ht="15">
      <c r="A20" s="188" t="s">
        <v>195</v>
      </c>
      <c r="B20" s="187" t="s">
        <v>196</v>
      </c>
      <c r="C20" s="40"/>
      <c r="D20" s="40"/>
      <c r="E20" s="40"/>
      <c r="F20" s="40"/>
      <c r="G20" s="40"/>
      <c r="H20" s="40"/>
      <c r="I20" s="40"/>
      <c r="J20" s="40"/>
      <c r="K20" s="40"/>
      <c r="L20" s="40"/>
      <c r="M20" s="40"/>
      <c r="N20" s="40"/>
      <c r="O20" s="40"/>
      <c r="P20" s="40"/>
      <c r="Q20" s="40"/>
      <c r="R20" s="40"/>
      <c r="S20" s="40"/>
      <c r="T20" s="40"/>
      <c r="U20" s="40"/>
      <c r="V20" s="40"/>
      <c r="W20" s="40"/>
      <c r="X20" s="40">
        <v>-53.1</v>
      </c>
      <c r="Y20" s="40">
        <v>-135.4</v>
      </c>
      <c r="Z20" s="40">
        <v>-77.599999999999994</v>
      </c>
      <c r="AA20" s="40">
        <v>-20.6</v>
      </c>
      <c r="AB20" s="40">
        <v>-13.6</v>
      </c>
      <c r="AC20" s="40">
        <v>-16.7</v>
      </c>
      <c r="AD20" s="40">
        <v>-11.2</v>
      </c>
      <c r="AE20" s="40">
        <v>-4.0999999999999996</v>
      </c>
      <c r="AF20" s="40">
        <v>4.2</v>
      </c>
      <c r="AG20" s="40">
        <v>2.6</v>
      </c>
      <c r="AH20" s="40">
        <v>1.7</v>
      </c>
      <c r="AI20" s="40"/>
      <c r="AJ20" s="40"/>
      <c r="AK20" s="40"/>
      <c r="AL20" s="40"/>
      <c r="AM20" s="40"/>
      <c r="AN20" s="40"/>
      <c r="AO20" s="40"/>
      <c r="AP20" s="40"/>
      <c r="AQ20" s="40"/>
      <c r="AR20" s="40"/>
      <c r="AS20" s="40"/>
      <c r="AT20" s="40"/>
      <c r="AU20" s="40"/>
      <c r="AV20" s="40"/>
      <c r="AW20" s="40"/>
      <c r="AX20" s="40"/>
      <c r="AY20" s="40"/>
      <c r="AZ20" s="40"/>
      <c r="BA20" s="40"/>
      <c r="BB20" s="40"/>
      <c r="BC20" s="40"/>
      <c r="BD20" s="40"/>
      <c r="BE20" s="103"/>
      <c r="BF20" s="40">
        <v>-53.1</v>
      </c>
      <c r="BG20" s="40">
        <v>-135.4</v>
      </c>
      <c r="BH20" s="40">
        <v>-77.599999999999994</v>
      </c>
      <c r="BI20" s="40">
        <v>-20.6</v>
      </c>
      <c r="BJ20" s="40">
        <v>-13.6</v>
      </c>
      <c r="BK20" s="40">
        <v>-16.7</v>
      </c>
      <c r="BL20" s="40">
        <v>-11.2</v>
      </c>
      <c r="BM20" s="40">
        <v>-4.0999999999999996</v>
      </c>
      <c r="BN20" s="40">
        <v>4.2</v>
      </c>
      <c r="BO20" s="40">
        <v>2.6</v>
      </c>
      <c r="BP20" s="104">
        <v>-300.3</v>
      </c>
      <c r="BQ20" s="105">
        <v>-325.5</v>
      </c>
      <c r="BR20" s="73"/>
    </row>
    <row r="21" spans="1:70" ht="15">
      <c r="A21" s="188" t="s">
        <v>197</v>
      </c>
      <c r="B21" s="187" t="s">
        <v>198</v>
      </c>
      <c r="C21" s="40"/>
      <c r="D21" s="40"/>
      <c r="E21" s="40"/>
      <c r="F21" s="40"/>
      <c r="G21" s="40"/>
      <c r="H21" s="40"/>
      <c r="I21" s="40"/>
      <c r="J21" s="40"/>
      <c r="K21" s="40"/>
      <c r="L21" s="40"/>
      <c r="M21" s="40"/>
      <c r="N21" s="40"/>
      <c r="O21" s="40"/>
      <c r="P21" s="40"/>
      <c r="Q21" s="40"/>
      <c r="R21" s="40"/>
      <c r="S21" s="40"/>
      <c r="T21" s="40"/>
      <c r="U21" s="40"/>
      <c r="V21" s="40"/>
      <c r="W21" s="40"/>
      <c r="X21" s="40"/>
      <c r="Y21" s="40"/>
      <c r="Z21" s="40">
        <v>-27.1</v>
      </c>
      <c r="AA21" s="40">
        <v>-37.299999999999997</v>
      </c>
      <c r="AB21" s="40">
        <v>-20</v>
      </c>
      <c r="AC21" s="40">
        <v>-15.6</v>
      </c>
      <c r="AD21" s="40">
        <v>-12.2</v>
      </c>
      <c r="AE21" s="40">
        <v>-7.9</v>
      </c>
      <c r="AF21" s="40">
        <v>-1.2</v>
      </c>
      <c r="AG21" s="40">
        <v>-0.3</v>
      </c>
      <c r="AH21" s="40">
        <v>-0.3</v>
      </c>
      <c r="AI21" s="40">
        <v>-0.3</v>
      </c>
      <c r="AJ21" s="40"/>
      <c r="AK21" s="40"/>
      <c r="AL21" s="40"/>
      <c r="AM21" s="40"/>
      <c r="AN21" s="40"/>
      <c r="AO21" s="40"/>
      <c r="AP21" s="40"/>
      <c r="AQ21" s="40"/>
      <c r="AR21" s="40"/>
      <c r="AS21" s="40"/>
      <c r="AT21" s="40"/>
      <c r="AU21" s="40"/>
      <c r="AV21" s="40"/>
      <c r="AW21" s="40"/>
      <c r="AX21" s="40"/>
      <c r="AY21" s="40"/>
      <c r="AZ21" s="40"/>
      <c r="BA21" s="40"/>
      <c r="BB21" s="40"/>
      <c r="BC21" s="40"/>
      <c r="BD21" s="40"/>
      <c r="BE21" s="103"/>
      <c r="BF21" s="40">
        <v>-27.1</v>
      </c>
      <c r="BG21" s="40">
        <v>-37.299999999999997</v>
      </c>
      <c r="BH21" s="40">
        <v>-20</v>
      </c>
      <c r="BI21" s="40">
        <v>-15.6</v>
      </c>
      <c r="BJ21" s="40">
        <v>-12.2</v>
      </c>
      <c r="BK21" s="40">
        <v>-7.9</v>
      </c>
      <c r="BL21" s="40">
        <v>-1.2</v>
      </c>
      <c r="BM21" s="40">
        <v>-0.3</v>
      </c>
      <c r="BN21" s="40">
        <v>-0.3</v>
      </c>
      <c r="BO21" s="40">
        <v>-0.3</v>
      </c>
      <c r="BP21" s="104">
        <v>-112.2</v>
      </c>
      <c r="BQ21" s="105">
        <v>-122.2</v>
      </c>
      <c r="BR21" s="73"/>
    </row>
    <row r="22" spans="1:70" ht="15">
      <c r="A22" s="188" t="s">
        <v>199</v>
      </c>
      <c r="B22" s="187" t="s">
        <v>200</v>
      </c>
      <c r="C22" s="40"/>
      <c r="D22" s="40"/>
      <c r="E22" s="40"/>
      <c r="F22" s="40"/>
      <c r="G22" s="40"/>
      <c r="H22" s="40"/>
      <c r="I22" s="40"/>
      <c r="J22" s="40"/>
      <c r="K22" s="40"/>
      <c r="L22" s="40"/>
      <c r="M22" s="40"/>
      <c r="N22" s="40"/>
      <c r="O22" s="40"/>
      <c r="P22" s="40"/>
      <c r="Q22" s="40"/>
      <c r="R22" s="40"/>
      <c r="S22" s="40"/>
      <c r="T22" s="40"/>
      <c r="U22" s="40"/>
      <c r="V22" s="40"/>
      <c r="W22" s="40"/>
      <c r="X22" s="40"/>
      <c r="Y22" s="40"/>
      <c r="Z22" s="40">
        <v>-4.9000000000000004</v>
      </c>
      <c r="AA22" s="40">
        <v>-8.3000000000000007</v>
      </c>
      <c r="AB22" s="40">
        <v>-4.7</v>
      </c>
      <c r="AC22" s="40">
        <v>2</v>
      </c>
      <c r="AD22" s="40">
        <v>5.8</v>
      </c>
      <c r="AE22" s="40">
        <v>1.6</v>
      </c>
      <c r="AF22" s="40">
        <v>0.9</v>
      </c>
      <c r="AG22" s="40">
        <v>0.8</v>
      </c>
      <c r="AH22" s="40">
        <v>0.2</v>
      </c>
      <c r="AI22" s="40">
        <v>-0.2</v>
      </c>
      <c r="AJ22" s="40"/>
      <c r="AK22" s="40"/>
      <c r="AL22" s="40"/>
      <c r="AM22" s="40"/>
      <c r="AN22" s="40"/>
      <c r="AO22" s="40"/>
      <c r="AP22" s="40"/>
      <c r="AQ22" s="40"/>
      <c r="AR22" s="40"/>
      <c r="AS22" s="40"/>
      <c r="AT22" s="40"/>
      <c r="AU22" s="40"/>
      <c r="AV22" s="40"/>
      <c r="AW22" s="40"/>
      <c r="AX22" s="40"/>
      <c r="AY22" s="40"/>
      <c r="AZ22" s="40"/>
      <c r="BA22" s="40"/>
      <c r="BB22" s="40"/>
      <c r="BC22" s="40"/>
      <c r="BD22" s="40"/>
      <c r="BE22" s="103"/>
      <c r="BF22" s="40">
        <v>-4.9000000000000004</v>
      </c>
      <c r="BG22" s="40">
        <v>-8.3000000000000007</v>
      </c>
      <c r="BH22" s="40">
        <v>-4.7</v>
      </c>
      <c r="BI22" s="40">
        <v>2</v>
      </c>
      <c r="BJ22" s="40">
        <v>5.8</v>
      </c>
      <c r="BK22" s="40">
        <v>1.6</v>
      </c>
      <c r="BL22" s="40">
        <v>0.9</v>
      </c>
      <c r="BM22" s="40">
        <v>0.8</v>
      </c>
      <c r="BN22" s="40">
        <v>0.2</v>
      </c>
      <c r="BO22" s="40">
        <v>-0.2</v>
      </c>
      <c r="BP22" s="104">
        <v>-10.1</v>
      </c>
      <c r="BQ22" s="105">
        <v>-6.8</v>
      </c>
      <c r="BR22" s="73"/>
    </row>
    <row r="23" spans="1:70" ht="15">
      <c r="A23" s="188" t="s">
        <v>201</v>
      </c>
      <c r="B23" s="187" t="s">
        <v>202</v>
      </c>
      <c r="C23" s="40"/>
      <c r="D23" s="40"/>
      <c r="E23" s="40"/>
      <c r="F23" s="40"/>
      <c r="G23" s="40"/>
      <c r="H23" s="40"/>
      <c r="I23" s="40"/>
      <c r="J23" s="40"/>
      <c r="K23" s="40"/>
      <c r="L23" s="40"/>
      <c r="M23" s="40"/>
      <c r="N23" s="40"/>
      <c r="O23" s="40"/>
      <c r="P23" s="40"/>
      <c r="Q23" s="40"/>
      <c r="R23" s="40"/>
      <c r="S23" s="40"/>
      <c r="T23" s="40"/>
      <c r="U23" s="40"/>
      <c r="V23" s="40"/>
      <c r="W23" s="40"/>
      <c r="X23" s="40"/>
      <c r="Y23" s="40"/>
      <c r="Z23" s="40"/>
      <c r="AA23" s="40">
        <v>-4.4000000000000004</v>
      </c>
      <c r="AB23" s="40">
        <v>-32.700000000000003</v>
      </c>
      <c r="AC23" s="40">
        <v>-7.5</v>
      </c>
      <c r="AD23" s="40">
        <v>-20.399999999999999</v>
      </c>
      <c r="AE23" s="40">
        <v>-14.2</v>
      </c>
      <c r="AF23" s="40">
        <v>-1.6</v>
      </c>
      <c r="AG23" s="40">
        <v>3.2</v>
      </c>
      <c r="AH23" s="40">
        <v>0.1</v>
      </c>
      <c r="AI23" s="40">
        <v>0.3</v>
      </c>
      <c r="AJ23" s="40">
        <v>0.5</v>
      </c>
      <c r="AK23" s="40">
        <v>0.1</v>
      </c>
      <c r="AL23" s="175"/>
      <c r="AM23" s="175"/>
      <c r="AN23" s="175"/>
      <c r="AO23" s="40"/>
      <c r="AP23" s="40"/>
      <c r="AQ23" s="40"/>
      <c r="AR23" s="40"/>
      <c r="AS23" s="40"/>
      <c r="AT23" s="40"/>
      <c r="AU23" s="40"/>
      <c r="AV23" s="40"/>
      <c r="AW23" s="40"/>
      <c r="AX23" s="40"/>
      <c r="AY23" s="40"/>
      <c r="AZ23" s="40"/>
      <c r="BA23" s="40"/>
      <c r="BB23" s="40"/>
      <c r="BC23" s="40"/>
      <c r="BD23" s="40"/>
      <c r="BE23" s="103"/>
      <c r="BF23" s="40">
        <v>-4.4000000000000004</v>
      </c>
      <c r="BG23" s="40">
        <v>-32.700000000000003</v>
      </c>
      <c r="BH23" s="40">
        <v>-7.5</v>
      </c>
      <c r="BI23" s="40">
        <v>-20.399999999999999</v>
      </c>
      <c r="BJ23" s="40">
        <v>-14.2</v>
      </c>
      <c r="BK23" s="40">
        <v>-1.6</v>
      </c>
      <c r="BL23" s="40">
        <v>3.2</v>
      </c>
      <c r="BM23" s="40">
        <v>0.1</v>
      </c>
      <c r="BN23" s="40">
        <v>0.3</v>
      </c>
      <c r="BO23" s="40">
        <v>0.5</v>
      </c>
      <c r="BP23" s="104">
        <v>-79.099999999999994</v>
      </c>
      <c r="BQ23" s="105">
        <v>-76.599999999999994</v>
      </c>
      <c r="BR23" s="73"/>
    </row>
    <row r="24" spans="1:70" ht="15">
      <c r="A24" s="188" t="s">
        <v>203</v>
      </c>
      <c r="B24" s="187" t="s">
        <v>204</v>
      </c>
      <c r="C24" s="40"/>
      <c r="D24" s="40"/>
      <c r="E24" s="40"/>
      <c r="F24" s="40"/>
      <c r="G24" s="40"/>
      <c r="H24" s="40"/>
      <c r="I24" s="40"/>
      <c r="J24" s="40"/>
      <c r="K24" s="40"/>
      <c r="L24" s="40"/>
      <c r="M24" s="40"/>
      <c r="N24" s="40"/>
      <c r="O24" s="40"/>
      <c r="P24" s="40"/>
      <c r="Q24" s="40"/>
      <c r="R24" s="40"/>
      <c r="S24" s="40"/>
      <c r="T24" s="40"/>
      <c r="U24" s="40"/>
      <c r="V24" s="40"/>
      <c r="W24" s="40"/>
      <c r="X24" s="40"/>
      <c r="Y24" s="40"/>
      <c r="Z24" s="40"/>
      <c r="AA24" s="40"/>
      <c r="AB24" s="40">
        <v>0.5</v>
      </c>
      <c r="AC24" s="40">
        <v>0.3</v>
      </c>
      <c r="AD24" s="40">
        <v>-1.1000000000000001</v>
      </c>
      <c r="AE24" s="40">
        <v>-1.9</v>
      </c>
      <c r="AF24" s="40">
        <v>-5.6</v>
      </c>
      <c r="AG24" s="40">
        <v>-9.4</v>
      </c>
      <c r="AH24" s="40">
        <v>-11.7</v>
      </c>
      <c r="AI24" s="40">
        <v>-13.7</v>
      </c>
      <c r="AJ24" s="40">
        <v>-14.9</v>
      </c>
      <c r="AK24" s="40">
        <v>-15.7</v>
      </c>
      <c r="AL24" s="40"/>
      <c r="AM24" s="40"/>
      <c r="AN24" s="40"/>
      <c r="AO24" s="40"/>
      <c r="AP24" s="40"/>
      <c r="AQ24" s="40"/>
      <c r="AR24" s="40"/>
      <c r="AS24" s="40"/>
      <c r="AT24" s="40"/>
      <c r="AU24" s="40"/>
      <c r="AV24" s="40"/>
      <c r="AW24" s="40"/>
      <c r="AX24" s="40"/>
      <c r="AY24" s="40"/>
      <c r="AZ24" s="40"/>
      <c r="BA24" s="40"/>
      <c r="BB24" s="40"/>
      <c r="BC24" s="40"/>
      <c r="BD24" s="40"/>
      <c r="BE24" s="103"/>
      <c r="BF24" s="40">
        <v>0.5</v>
      </c>
      <c r="BG24" s="40">
        <v>0.3</v>
      </c>
      <c r="BH24" s="40">
        <v>-1.1000000000000001</v>
      </c>
      <c r="BI24" s="40">
        <v>-1.9</v>
      </c>
      <c r="BJ24" s="40">
        <v>-5.6</v>
      </c>
      <c r="BK24" s="40">
        <v>-9.4</v>
      </c>
      <c r="BL24" s="40">
        <v>-11.7</v>
      </c>
      <c r="BM24" s="40">
        <v>-13.7</v>
      </c>
      <c r="BN24" s="40">
        <v>-14.9</v>
      </c>
      <c r="BO24" s="40">
        <v>-15.7</v>
      </c>
      <c r="BP24" s="104">
        <v>-7.7</v>
      </c>
      <c r="BQ24" s="105">
        <v>-72.900000000000006</v>
      </c>
      <c r="BR24" s="73"/>
    </row>
    <row r="25" spans="1:70" ht="15">
      <c r="A25" s="188" t="s">
        <v>205</v>
      </c>
      <c r="B25" s="187" t="s">
        <v>206</v>
      </c>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v>-15.6</v>
      </c>
      <c r="AC25" s="40">
        <v>-10.9</v>
      </c>
      <c r="AD25" s="40">
        <v>-4.5</v>
      </c>
      <c r="AE25" s="40">
        <v>-3</v>
      </c>
      <c r="AF25" s="40">
        <v>-2</v>
      </c>
      <c r="AG25" s="40">
        <v>-1.2</v>
      </c>
      <c r="AH25" s="40">
        <v>-0.8</v>
      </c>
      <c r="AI25" s="40">
        <v>-0.8</v>
      </c>
      <c r="AJ25" s="40">
        <v>-0.7</v>
      </c>
      <c r="AK25" s="40">
        <v>-0.6</v>
      </c>
      <c r="AL25" s="40"/>
      <c r="AM25" s="40"/>
      <c r="AN25" s="40"/>
      <c r="AO25" s="40"/>
      <c r="AP25" s="40"/>
      <c r="AQ25" s="40"/>
      <c r="AR25" s="40"/>
      <c r="AS25" s="40"/>
      <c r="AT25" s="40"/>
      <c r="AU25" s="40"/>
      <c r="AV25" s="40"/>
      <c r="AW25" s="40"/>
      <c r="AX25" s="40"/>
      <c r="AY25" s="40"/>
      <c r="AZ25" s="40"/>
      <c r="BA25" s="40"/>
      <c r="BB25" s="40"/>
      <c r="BC25" s="40"/>
      <c r="BD25" s="40"/>
      <c r="BE25" s="103"/>
      <c r="BF25" s="40">
        <v>-15.6</v>
      </c>
      <c r="BG25" s="40">
        <v>-10.9</v>
      </c>
      <c r="BH25" s="40">
        <v>-4.5</v>
      </c>
      <c r="BI25" s="40">
        <v>-3</v>
      </c>
      <c r="BJ25" s="40">
        <v>-2</v>
      </c>
      <c r="BK25" s="40">
        <v>-1.2</v>
      </c>
      <c r="BL25" s="40">
        <v>-0.8</v>
      </c>
      <c r="BM25" s="40">
        <v>-0.8</v>
      </c>
      <c r="BN25" s="40">
        <v>-0.7</v>
      </c>
      <c r="BO25" s="40">
        <v>-0.6</v>
      </c>
      <c r="BP25" s="104">
        <v>-36</v>
      </c>
      <c r="BQ25" s="105">
        <v>-40</v>
      </c>
      <c r="BR25" s="73"/>
    </row>
    <row r="26" spans="1:70" ht="15">
      <c r="A26" s="188" t="s">
        <v>207</v>
      </c>
      <c r="B26" s="187" t="s">
        <v>208</v>
      </c>
      <c r="C26" s="40"/>
      <c r="D26" s="40"/>
      <c r="E26" s="40"/>
      <c r="F26" s="40"/>
      <c r="G26" s="40"/>
      <c r="H26" s="40"/>
      <c r="I26" s="40"/>
      <c r="J26" s="40"/>
      <c r="K26" s="40"/>
      <c r="L26" s="40"/>
      <c r="M26" s="40"/>
      <c r="N26" s="40"/>
      <c r="O26" s="40"/>
      <c r="P26" s="40"/>
      <c r="Q26" s="40"/>
      <c r="R26" s="40"/>
      <c r="S26" s="40"/>
      <c r="T26" s="40"/>
      <c r="U26" s="40"/>
      <c r="V26" s="40"/>
      <c r="W26" s="40"/>
      <c r="X26" s="40"/>
      <c r="Y26" s="40"/>
      <c r="Z26" s="40"/>
      <c r="AA26" s="40"/>
      <c r="AB26" s="40"/>
      <c r="AC26" s="40">
        <v>-70</v>
      </c>
      <c r="AD26" s="40">
        <v>19.399999999999999</v>
      </c>
      <c r="AE26" s="44">
        <v>0</v>
      </c>
      <c r="AF26" s="44">
        <v>0</v>
      </c>
      <c r="AG26" s="44">
        <v>0</v>
      </c>
      <c r="AH26" s="44">
        <v>0</v>
      </c>
      <c r="AI26" s="44">
        <v>0</v>
      </c>
      <c r="AJ26" s="44">
        <v>0</v>
      </c>
      <c r="AK26" s="44">
        <v>0</v>
      </c>
      <c r="AL26" s="44">
        <v>0</v>
      </c>
      <c r="AM26" s="40"/>
      <c r="AN26" s="40"/>
      <c r="AO26" s="40"/>
      <c r="AP26" s="40"/>
      <c r="AQ26" s="40"/>
      <c r="AR26" s="40"/>
      <c r="AS26" s="40"/>
      <c r="AT26" s="40"/>
      <c r="AU26" s="40"/>
      <c r="AV26" s="40"/>
      <c r="AW26" s="40"/>
      <c r="AX26" s="40"/>
      <c r="AY26" s="40"/>
      <c r="AZ26" s="40"/>
      <c r="BA26" s="40"/>
      <c r="BB26" s="40"/>
      <c r="BC26" s="40"/>
      <c r="BD26" s="40"/>
      <c r="BE26" s="103"/>
      <c r="BF26" s="40">
        <v>-70</v>
      </c>
      <c r="BG26" s="40">
        <v>19.399999999999999</v>
      </c>
      <c r="BH26" s="40">
        <v>0</v>
      </c>
      <c r="BI26" s="40">
        <v>0</v>
      </c>
      <c r="BJ26" s="40">
        <v>0</v>
      </c>
      <c r="BK26" s="40">
        <v>0</v>
      </c>
      <c r="BL26" s="40">
        <v>0</v>
      </c>
      <c r="BM26" s="40">
        <v>0</v>
      </c>
      <c r="BN26" s="40">
        <v>0</v>
      </c>
      <c r="BO26" s="40">
        <v>0</v>
      </c>
      <c r="BP26" s="104">
        <v>-50.6</v>
      </c>
      <c r="BQ26" s="105">
        <v>-50.6</v>
      </c>
      <c r="BR26" s="73"/>
    </row>
    <row r="27" spans="1:70" ht="15">
      <c r="A27" s="188" t="s">
        <v>209</v>
      </c>
      <c r="B27" s="187" t="s">
        <v>210</v>
      </c>
      <c r="C27" s="40"/>
      <c r="D27" s="40"/>
      <c r="E27" s="40"/>
      <c r="F27" s="40"/>
      <c r="G27" s="40"/>
      <c r="H27" s="40"/>
      <c r="I27" s="40"/>
      <c r="J27" s="40"/>
      <c r="K27" s="40"/>
      <c r="L27" s="40"/>
      <c r="M27" s="40"/>
      <c r="N27" s="40"/>
      <c r="O27" s="40"/>
      <c r="P27" s="40"/>
      <c r="Q27" s="40"/>
      <c r="R27" s="40"/>
      <c r="S27" s="40"/>
      <c r="T27" s="40"/>
      <c r="U27" s="40"/>
      <c r="V27" s="40"/>
      <c r="W27" s="40"/>
      <c r="X27" s="40"/>
      <c r="Y27" s="40"/>
      <c r="Z27" s="40"/>
      <c r="AA27" s="40"/>
      <c r="AB27" s="40"/>
      <c r="AC27" s="40">
        <v>-113.7</v>
      </c>
      <c r="AD27" s="40">
        <v>-12.3</v>
      </c>
      <c r="AE27" s="40">
        <v>11.7</v>
      </c>
      <c r="AF27" s="40">
        <v>8.8000000000000007</v>
      </c>
      <c r="AG27" s="40">
        <v>7.6</v>
      </c>
      <c r="AH27" s="40">
        <v>5.9</v>
      </c>
      <c r="AI27" s="40">
        <v>3.8</v>
      </c>
      <c r="AJ27" s="40">
        <v>2.2999999999999998</v>
      </c>
      <c r="AK27" s="40">
        <v>1.3</v>
      </c>
      <c r="AL27" s="40">
        <v>1</v>
      </c>
      <c r="AM27" s="40">
        <v>1.1000000000000001</v>
      </c>
      <c r="AN27" s="40"/>
      <c r="AO27" s="40"/>
      <c r="AP27" s="40"/>
      <c r="AQ27" s="40"/>
      <c r="AR27" s="40"/>
      <c r="AS27" s="40"/>
      <c r="AT27" s="40"/>
      <c r="AU27" s="40"/>
      <c r="AV27" s="40"/>
      <c r="AW27" s="40"/>
      <c r="AX27" s="40"/>
      <c r="AY27" s="40"/>
      <c r="AZ27" s="40"/>
      <c r="BA27" s="40"/>
      <c r="BB27" s="40"/>
      <c r="BC27" s="40"/>
      <c r="BD27" s="40"/>
      <c r="BE27" s="103"/>
      <c r="BF27" s="40">
        <v>-113.7</v>
      </c>
      <c r="BG27" s="40">
        <v>-12.3</v>
      </c>
      <c r="BH27" s="40">
        <v>11.7</v>
      </c>
      <c r="BI27" s="40">
        <v>8.8000000000000007</v>
      </c>
      <c r="BJ27" s="40">
        <v>7.6</v>
      </c>
      <c r="BK27" s="40">
        <v>5.9</v>
      </c>
      <c r="BL27" s="40">
        <v>3.8</v>
      </c>
      <c r="BM27" s="40">
        <v>2.2999999999999998</v>
      </c>
      <c r="BN27" s="40">
        <v>1.3</v>
      </c>
      <c r="BO27" s="40">
        <v>1</v>
      </c>
      <c r="BP27" s="104">
        <v>-97.9</v>
      </c>
      <c r="BQ27" s="105">
        <v>-83.6</v>
      </c>
      <c r="BR27" s="73"/>
    </row>
    <row r="28" spans="1:70" ht="15">
      <c r="A28" s="188" t="s">
        <v>211</v>
      </c>
      <c r="B28" s="187" t="s">
        <v>212</v>
      </c>
      <c r="C28" s="40"/>
      <c r="D28" s="40"/>
      <c r="E28" s="40"/>
      <c r="F28" s="40"/>
      <c r="G28" s="40"/>
      <c r="H28" s="40"/>
      <c r="I28" s="40"/>
      <c r="J28" s="40"/>
      <c r="K28" s="40"/>
      <c r="L28" s="40"/>
      <c r="M28" s="40"/>
      <c r="N28" s="40"/>
      <c r="O28" s="40"/>
      <c r="P28" s="40"/>
      <c r="Q28" s="40"/>
      <c r="R28" s="40"/>
      <c r="S28" s="40"/>
      <c r="T28" s="40"/>
      <c r="U28" s="40"/>
      <c r="V28" s="40"/>
      <c r="W28" s="40"/>
      <c r="X28" s="40"/>
      <c r="Y28" s="40"/>
      <c r="Z28" s="40"/>
      <c r="AA28" s="40"/>
      <c r="AB28" s="40"/>
      <c r="AC28" s="40">
        <v>-1</v>
      </c>
      <c r="AD28" s="40">
        <v>-11</v>
      </c>
      <c r="AE28" s="40">
        <v>3.9</v>
      </c>
      <c r="AF28" s="40">
        <v>4.5</v>
      </c>
      <c r="AG28" s="40">
        <v>-5.8</v>
      </c>
      <c r="AH28" s="40">
        <v>22</v>
      </c>
      <c r="AI28" s="40">
        <v>-6.7</v>
      </c>
      <c r="AJ28" s="40">
        <v>3</v>
      </c>
      <c r="AK28" s="40">
        <v>2.9</v>
      </c>
      <c r="AL28" s="40">
        <v>2.5</v>
      </c>
      <c r="AM28" s="40">
        <v>2.4</v>
      </c>
      <c r="AN28" s="40"/>
      <c r="AO28" s="40"/>
      <c r="AP28" s="40"/>
      <c r="AQ28" s="40"/>
      <c r="AR28" s="40"/>
      <c r="AS28" s="40"/>
      <c r="AT28" s="40"/>
      <c r="AU28" s="40"/>
      <c r="AV28" s="40"/>
      <c r="AW28" s="40"/>
      <c r="AX28" s="40"/>
      <c r="AY28" s="40"/>
      <c r="AZ28" s="40"/>
      <c r="BA28" s="40"/>
      <c r="BB28" s="40"/>
      <c r="BC28" s="40"/>
      <c r="BD28" s="40"/>
      <c r="BE28" s="103"/>
      <c r="BF28" s="40">
        <v>-1</v>
      </c>
      <c r="BG28" s="40">
        <v>-11</v>
      </c>
      <c r="BH28" s="40">
        <v>3.9</v>
      </c>
      <c r="BI28" s="40">
        <v>4.5</v>
      </c>
      <c r="BJ28" s="40">
        <v>-5.8</v>
      </c>
      <c r="BK28" s="40">
        <v>22</v>
      </c>
      <c r="BL28" s="40">
        <v>-6.7</v>
      </c>
      <c r="BM28" s="40">
        <v>3</v>
      </c>
      <c r="BN28" s="40">
        <v>2.9</v>
      </c>
      <c r="BO28" s="40">
        <v>2.5</v>
      </c>
      <c r="BP28" s="104">
        <v>-9.3000000000000007</v>
      </c>
      <c r="BQ28" s="105">
        <v>14.3</v>
      </c>
      <c r="BR28" s="73"/>
    </row>
    <row r="29" spans="1:70" ht="15">
      <c r="A29" s="188" t="s">
        <v>213</v>
      </c>
      <c r="B29" s="187" t="s">
        <v>214</v>
      </c>
      <c r="C29" s="40"/>
      <c r="D29" s="40"/>
      <c r="E29" s="40"/>
      <c r="F29" s="40"/>
      <c r="G29" s="40"/>
      <c r="H29" s="40"/>
      <c r="I29" s="40"/>
      <c r="J29" s="40"/>
      <c r="K29" s="40"/>
      <c r="L29" s="40"/>
      <c r="M29" s="40"/>
      <c r="N29" s="40"/>
      <c r="O29" s="40"/>
      <c r="P29" s="40"/>
      <c r="Q29" s="40"/>
      <c r="R29" s="40"/>
      <c r="S29" s="40"/>
      <c r="T29" s="40"/>
      <c r="U29" s="40"/>
      <c r="V29" s="40"/>
      <c r="W29" s="40"/>
      <c r="X29" s="40"/>
      <c r="Y29" s="40"/>
      <c r="Z29" s="40"/>
      <c r="AA29" s="40"/>
      <c r="AB29" s="40"/>
      <c r="AC29" s="40"/>
      <c r="AD29" s="40">
        <v>-104.1</v>
      </c>
      <c r="AE29" s="40">
        <v>-3</v>
      </c>
      <c r="AF29" s="40">
        <v>-4</v>
      </c>
      <c r="AG29" s="40">
        <v>-2.9</v>
      </c>
      <c r="AH29" s="40">
        <v>-2.2999999999999998</v>
      </c>
      <c r="AI29" s="40">
        <v>-0.7</v>
      </c>
      <c r="AJ29" s="40">
        <v>0.5</v>
      </c>
      <c r="AK29" s="40">
        <v>0.8</v>
      </c>
      <c r="AL29" s="40">
        <v>8.4</v>
      </c>
      <c r="AM29" s="40">
        <v>4</v>
      </c>
      <c r="AN29" s="40"/>
      <c r="AO29" s="40"/>
      <c r="AP29" s="40"/>
      <c r="AQ29" s="40"/>
      <c r="AR29" s="40"/>
      <c r="AS29" s="40"/>
      <c r="AT29" s="40"/>
      <c r="AU29" s="40"/>
      <c r="AV29" s="40"/>
      <c r="AW29" s="40"/>
      <c r="AX29" s="40"/>
      <c r="AY29" s="40"/>
      <c r="AZ29" s="40"/>
      <c r="BA29" s="40"/>
      <c r="BB29" s="40"/>
      <c r="BC29" s="40"/>
      <c r="BD29" s="40"/>
      <c r="BE29" s="103"/>
      <c r="BF29" s="40">
        <v>-104.1</v>
      </c>
      <c r="BG29" s="40">
        <v>-3</v>
      </c>
      <c r="BH29" s="40">
        <v>-4</v>
      </c>
      <c r="BI29" s="40">
        <v>-2.9</v>
      </c>
      <c r="BJ29" s="40">
        <v>-2.2999999999999998</v>
      </c>
      <c r="BK29" s="40">
        <v>-0.7</v>
      </c>
      <c r="BL29" s="40">
        <v>0.5</v>
      </c>
      <c r="BM29" s="40">
        <v>0.8</v>
      </c>
      <c r="BN29" s="40">
        <v>8.4</v>
      </c>
      <c r="BO29" s="40">
        <v>4</v>
      </c>
      <c r="BP29" s="104">
        <v>-116.2</v>
      </c>
      <c r="BQ29" s="105">
        <v>-103.2</v>
      </c>
      <c r="BR29" s="73"/>
    </row>
    <row r="30" spans="1:70" ht="15">
      <c r="A30" s="188" t="s">
        <v>215</v>
      </c>
      <c r="B30" s="187" t="s">
        <v>216</v>
      </c>
      <c r="C30" s="40"/>
      <c r="D30" s="40"/>
      <c r="E30" s="40"/>
      <c r="F30" s="40"/>
      <c r="G30" s="40"/>
      <c r="H30" s="40"/>
      <c r="I30" s="40"/>
      <c r="J30" s="40"/>
      <c r="K30" s="40"/>
      <c r="L30" s="40"/>
      <c r="M30" s="40"/>
      <c r="N30" s="40"/>
      <c r="O30" s="40"/>
      <c r="P30" s="40"/>
      <c r="Q30" s="40"/>
      <c r="R30" s="40"/>
      <c r="S30" s="40"/>
      <c r="T30" s="40"/>
      <c r="U30" s="40"/>
      <c r="V30" s="40"/>
      <c r="W30" s="40"/>
      <c r="X30" s="40"/>
      <c r="Y30" s="40"/>
      <c r="Z30" s="40"/>
      <c r="AA30" s="40"/>
      <c r="AB30" s="40"/>
      <c r="AC30" s="40"/>
      <c r="AD30" s="40">
        <v>3.8</v>
      </c>
      <c r="AE30" s="40">
        <v>7.6</v>
      </c>
      <c r="AF30" s="40">
        <v>7.3</v>
      </c>
      <c r="AG30" s="40">
        <v>7.4</v>
      </c>
      <c r="AH30" s="40">
        <v>7.7</v>
      </c>
      <c r="AI30" s="40">
        <v>7</v>
      </c>
      <c r="AJ30" s="40">
        <v>7</v>
      </c>
      <c r="AK30" s="40">
        <v>6.8</v>
      </c>
      <c r="AL30" s="40">
        <v>6.8</v>
      </c>
      <c r="AM30" s="40">
        <v>6.7</v>
      </c>
      <c r="AN30" s="40">
        <v>6.7</v>
      </c>
      <c r="AO30" s="40"/>
      <c r="AP30" s="40"/>
      <c r="AQ30" s="40"/>
      <c r="AR30" s="40"/>
      <c r="AS30" s="40"/>
      <c r="AT30" s="40"/>
      <c r="AU30" s="40"/>
      <c r="AV30" s="40"/>
      <c r="AW30" s="40"/>
      <c r="AX30" s="40"/>
      <c r="AY30" s="40"/>
      <c r="AZ30" s="40"/>
      <c r="BA30" s="40"/>
      <c r="BB30" s="40"/>
      <c r="BC30" s="40"/>
      <c r="BD30" s="40"/>
      <c r="BE30" s="103"/>
      <c r="BF30" s="40">
        <v>3.8</v>
      </c>
      <c r="BG30" s="40">
        <v>7.6</v>
      </c>
      <c r="BH30" s="40">
        <v>7.3</v>
      </c>
      <c r="BI30" s="40">
        <v>7.4</v>
      </c>
      <c r="BJ30" s="40">
        <v>7.7</v>
      </c>
      <c r="BK30" s="40">
        <v>7</v>
      </c>
      <c r="BL30" s="40">
        <v>7</v>
      </c>
      <c r="BM30" s="40">
        <v>6.8</v>
      </c>
      <c r="BN30" s="40">
        <v>6.8</v>
      </c>
      <c r="BO30" s="40">
        <v>6.7</v>
      </c>
      <c r="BP30" s="104">
        <v>33.9</v>
      </c>
      <c r="BQ30" s="105">
        <v>68.2</v>
      </c>
      <c r="BR30" s="73"/>
    </row>
    <row r="31" spans="1:70" ht="15">
      <c r="A31" s="188" t="s">
        <v>217</v>
      </c>
      <c r="B31" s="187" t="s">
        <v>218</v>
      </c>
      <c r="C31" s="40"/>
      <c r="D31" s="40"/>
      <c r="E31" s="40"/>
      <c r="F31" s="40"/>
      <c r="G31" s="40"/>
      <c r="H31" s="40"/>
      <c r="I31" s="40"/>
      <c r="J31" s="40"/>
      <c r="K31" s="40"/>
      <c r="L31" s="40"/>
      <c r="M31" s="40"/>
      <c r="N31" s="40"/>
      <c r="O31" s="40"/>
      <c r="P31" s="40"/>
      <c r="Q31" s="40"/>
      <c r="R31" s="40"/>
      <c r="S31" s="40"/>
      <c r="T31" s="40"/>
      <c r="U31" s="40"/>
      <c r="V31" s="40"/>
      <c r="W31" s="40"/>
      <c r="X31" s="40"/>
      <c r="Y31" s="40"/>
      <c r="Z31" s="40"/>
      <c r="AA31" s="40"/>
      <c r="AB31" s="40"/>
      <c r="AC31" s="40"/>
      <c r="AD31" s="40">
        <v>-64.8</v>
      </c>
      <c r="AE31" s="40">
        <v>-180.1</v>
      </c>
      <c r="AF31" s="40">
        <v>-8.1999999999999993</v>
      </c>
      <c r="AG31" s="40">
        <v>10</v>
      </c>
      <c r="AH31" s="40">
        <v>2.7</v>
      </c>
      <c r="AI31" s="40">
        <v>5.5</v>
      </c>
      <c r="AJ31" s="40">
        <v>7</v>
      </c>
      <c r="AK31" s="40">
        <v>5.8</v>
      </c>
      <c r="AL31" s="40">
        <v>5</v>
      </c>
      <c r="AM31" s="40">
        <v>5</v>
      </c>
      <c r="AN31" s="40">
        <v>0.1</v>
      </c>
      <c r="AO31" s="40"/>
      <c r="AP31" s="40"/>
      <c r="AQ31" s="40"/>
      <c r="AR31" s="40"/>
      <c r="AS31" s="40"/>
      <c r="AT31" s="40"/>
      <c r="AU31" s="40"/>
      <c r="AV31" s="40"/>
      <c r="AW31" s="40"/>
      <c r="AX31" s="40"/>
      <c r="AY31" s="40"/>
      <c r="AZ31" s="40"/>
      <c r="BA31" s="40"/>
      <c r="BB31" s="40"/>
      <c r="BC31" s="40"/>
      <c r="BD31" s="40"/>
      <c r="BE31" s="103"/>
      <c r="BF31" s="40">
        <v>-64.8</v>
      </c>
      <c r="BG31" s="40">
        <v>-180.1</v>
      </c>
      <c r="BH31" s="40">
        <v>-8.1999999999999993</v>
      </c>
      <c r="BI31" s="40">
        <v>10</v>
      </c>
      <c r="BJ31" s="40">
        <v>2.7</v>
      </c>
      <c r="BK31" s="40">
        <v>5.5</v>
      </c>
      <c r="BL31" s="40">
        <v>7</v>
      </c>
      <c r="BM31" s="40">
        <v>5.8</v>
      </c>
      <c r="BN31" s="40">
        <v>5</v>
      </c>
      <c r="BO31" s="40">
        <v>5</v>
      </c>
      <c r="BP31" s="104">
        <v>-240.4</v>
      </c>
      <c r="BQ31" s="105">
        <v>-212</v>
      </c>
      <c r="BR31" s="73"/>
    </row>
    <row r="32" spans="1:70" ht="15">
      <c r="A32" s="188" t="s">
        <v>219</v>
      </c>
      <c r="B32" s="187" t="s">
        <v>220</v>
      </c>
      <c r="C32" s="40"/>
      <c r="D32" s="40"/>
      <c r="E32" s="40"/>
      <c r="F32" s="40"/>
      <c r="G32" s="40"/>
      <c r="H32" s="40"/>
      <c r="I32" s="40"/>
      <c r="J32" s="40"/>
      <c r="K32" s="40"/>
      <c r="L32" s="40"/>
      <c r="M32" s="40"/>
      <c r="N32" s="40"/>
      <c r="O32" s="40"/>
      <c r="P32" s="40"/>
      <c r="Q32" s="40"/>
      <c r="R32" s="40"/>
      <c r="S32" s="40"/>
      <c r="T32" s="40"/>
      <c r="U32" s="40"/>
      <c r="V32" s="40"/>
      <c r="W32" s="40"/>
      <c r="X32" s="40"/>
      <c r="Y32" s="40"/>
      <c r="Z32" s="40"/>
      <c r="AA32" s="40"/>
      <c r="AB32" s="40"/>
      <c r="AC32" s="40"/>
      <c r="AD32" s="40"/>
      <c r="AE32" s="40">
        <v>-39</v>
      </c>
      <c r="AF32" s="40">
        <v>5.7</v>
      </c>
      <c r="AG32" s="40">
        <v>7.6</v>
      </c>
      <c r="AH32" s="40">
        <v>7.6</v>
      </c>
      <c r="AI32" s="40">
        <v>24.8</v>
      </c>
      <c r="AJ32" s="40">
        <v>-12.9</v>
      </c>
      <c r="AK32" s="40">
        <v>4.9000000000000004</v>
      </c>
      <c r="AL32" s="40">
        <v>4.5999999999999996</v>
      </c>
      <c r="AM32" s="40">
        <v>2.7</v>
      </c>
      <c r="AN32" s="40">
        <v>0.7</v>
      </c>
      <c r="AO32" s="40"/>
      <c r="AP32" s="40"/>
      <c r="AQ32" s="40"/>
      <c r="AR32" s="40"/>
      <c r="AS32" s="40"/>
      <c r="AT32" s="40"/>
      <c r="AU32" s="40"/>
      <c r="AV32" s="40"/>
      <c r="AW32" s="40"/>
      <c r="AX32" s="40"/>
      <c r="AY32" s="40"/>
      <c r="AZ32" s="40"/>
      <c r="BA32" s="40"/>
      <c r="BB32" s="40"/>
      <c r="BC32" s="40"/>
      <c r="BD32" s="40"/>
      <c r="BE32" s="103"/>
      <c r="BF32" s="40">
        <v>-39</v>
      </c>
      <c r="BG32" s="40">
        <v>5.7</v>
      </c>
      <c r="BH32" s="40">
        <v>7.6</v>
      </c>
      <c r="BI32" s="40">
        <v>7.6</v>
      </c>
      <c r="BJ32" s="40">
        <v>24.8</v>
      </c>
      <c r="BK32" s="40">
        <v>-12.9</v>
      </c>
      <c r="BL32" s="40">
        <v>4.9000000000000004</v>
      </c>
      <c r="BM32" s="40">
        <v>4.5999999999999996</v>
      </c>
      <c r="BN32" s="40">
        <v>2.7</v>
      </c>
      <c r="BO32" s="40">
        <v>0.7</v>
      </c>
      <c r="BP32" s="104">
        <v>6.7</v>
      </c>
      <c r="BQ32" s="105">
        <v>6.7</v>
      </c>
      <c r="BR32" s="73"/>
    </row>
    <row r="33" spans="1:70" ht="15">
      <c r="A33" s="188" t="s">
        <v>221</v>
      </c>
      <c r="B33" s="187" t="s">
        <v>222</v>
      </c>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v>-4.4000000000000004</v>
      </c>
      <c r="AF33" s="40">
        <v>-5.4</v>
      </c>
      <c r="AG33" s="40">
        <v>-1.2</v>
      </c>
      <c r="AH33" s="40">
        <v>1</v>
      </c>
      <c r="AI33" s="40">
        <v>15.1</v>
      </c>
      <c r="AJ33" s="40">
        <v>1.4</v>
      </c>
      <c r="AK33" s="40">
        <v>-11.2</v>
      </c>
      <c r="AL33" s="40">
        <v>2.2999999999999998</v>
      </c>
      <c r="AM33" s="40">
        <v>4.2</v>
      </c>
      <c r="AN33" s="40">
        <v>10.6</v>
      </c>
      <c r="AO33" s="40">
        <v>2</v>
      </c>
      <c r="AP33" s="40"/>
      <c r="AQ33" s="40"/>
      <c r="AR33" s="40"/>
      <c r="AS33" s="40"/>
      <c r="AT33" s="40"/>
      <c r="AU33" s="40"/>
      <c r="AV33" s="40"/>
      <c r="AW33" s="40"/>
      <c r="AX33" s="40"/>
      <c r="AY33" s="40"/>
      <c r="AZ33" s="40"/>
      <c r="BA33" s="40"/>
      <c r="BB33" s="40"/>
      <c r="BC33" s="40"/>
      <c r="BD33" s="40"/>
      <c r="BE33" s="103"/>
      <c r="BF33" s="40">
        <v>-4.4000000000000004</v>
      </c>
      <c r="BG33" s="40">
        <v>-5.4</v>
      </c>
      <c r="BH33" s="40">
        <v>-1.2</v>
      </c>
      <c r="BI33" s="40">
        <v>1</v>
      </c>
      <c r="BJ33" s="40">
        <v>15.1</v>
      </c>
      <c r="BK33" s="40">
        <v>1.4</v>
      </c>
      <c r="BL33" s="40">
        <v>-11.2</v>
      </c>
      <c r="BM33" s="40">
        <v>2.2999999999999998</v>
      </c>
      <c r="BN33" s="40">
        <v>4.2</v>
      </c>
      <c r="BO33" s="40">
        <v>10.6</v>
      </c>
      <c r="BP33" s="104">
        <v>5.0999999999999996</v>
      </c>
      <c r="BQ33" s="105">
        <v>12.3</v>
      </c>
      <c r="BR33" s="73"/>
    </row>
    <row r="34" spans="1:70" ht="30">
      <c r="A34" s="188" t="s">
        <v>223</v>
      </c>
      <c r="B34" s="187" t="s">
        <v>224</v>
      </c>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v>-2.6</v>
      </c>
      <c r="AF34" s="40">
        <v>3.5</v>
      </c>
      <c r="AG34" s="40">
        <v>4.5999999999999996</v>
      </c>
      <c r="AH34" s="40">
        <v>27.3</v>
      </c>
      <c r="AI34" s="40">
        <v>56.6</v>
      </c>
      <c r="AJ34" s="40">
        <v>64.599999999999994</v>
      </c>
      <c r="AK34" s="40">
        <v>82.8</v>
      </c>
      <c r="AL34" s="40">
        <v>88.8</v>
      </c>
      <c r="AM34" s="40">
        <v>95.4</v>
      </c>
      <c r="AN34" s="40">
        <v>104.3</v>
      </c>
      <c r="AO34" s="40">
        <v>114.9</v>
      </c>
      <c r="AP34" s="40"/>
      <c r="AQ34" s="40"/>
      <c r="AR34" s="40"/>
      <c r="AS34" s="40"/>
      <c r="AT34" s="40"/>
      <c r="AU34" s="40"/>
      <c r="AV34" s="40"/>
      <c r="AW34" s="40"/>
      <c r="AX34" s="40"/>
      <c r="AY34" s="40"/>
      <c r="AZ34" s="40"/>
      <c r="BA34" s="40"/>
      <c r="BB34" s="40"/>
      <c r="BC34" s="40"/>
      <c r="BD34" s="40"/>
      <c r="BE34" s="103"/>
      <c r="BF34" s="40">
        <v>-2.6</v>
      </c>
      <c r="BG34" s="40">
        <v>3.5</v>
      </c>
      <c r="BH34" s="40">
        <v>4.5999999999999996</v>
      </c>
      <c r="BI34" s="40">
        <v>27.3</v>
      </c>
      <c r="BJ34" s="40">
        <v>56.6</v>
      </c>
      <c r="BK34" s="40">
        <v>64.599999999999994</v>
      </c>
      <c r="BL34" s="40">
        <v>82.8</v>
      </c>
      <c r="BM34" s="40">
        <v>88.8</v>
      </c>
      <c r="BN34" s="40">
        <v>95.4</v>
      </c>
      <c r="BO34" s="40">
        <v>104.3</v>
      </c>
      <c r="BP34" s="104">
        <v>89.3</v>
      </c>
      <c r="BQ34" s="105">
        <v>525.29999999999995</v>
      </c>
      <c r="BR34" s="73"/>
    </row>
    <row r="35" spans="1:70" ht="15">
      <c r="A35" s="188" t="s">
        <v>225</v>
      </c>
      <c r="B35" s="187" t="s">
        <v>226</v>
      </c>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v>-55.1</v>
      </c>
      <c r="AG35" s="40">
        <v>10</v>
      </c>
      <c r="AH35" s="40">
        <v>12.8</v>
      </c>
      <c r="AI35" s="40">
        <v>9.6999999999999993</v>
      </c>
      <c r="AJ35" s="40">
        <v>28.7</v>
      </c>
      <c r="AK35" s="40">
        <v>-15.6</v>
      </c>
      <c r="AL35" s="40">
        <v>4.2</v>
      </c>
      <c r="AM35" s="40">
        <v>3.1</v>
      </c>
      <c r="AN35" s="40">
        <v>2.4</v>
      </c>
      <c r="AO35" s="40">
        <v>2.4</v>
      </c>
      <c r="AP35" s="40"/>
      <c r="AQ35" s="40"/>
      <c r="AR35" s="40"/>
      <c r="AS35" s="40"/>
      <c r="AT35" s="40"/>
      <c r="AU35" s="40"/>
      <c r="AV35" s="40"/>
      <c r="AW35" s="40"/>
      <c r="AX35" s="40"/>
      <c r="AY35" s="40"/>
      <c r="AZ35" s="40"/>
      <c r="BA35" s="40"/>
      <c r="BB35" s="40"/>
      <c r="BC35" s="40"/>
      <c r="BD35" s="40"/>
      <c r="BE35" s="103"/>
      <c r="BF35" s="40">
        <v>-55.1</v>
      </c>
      <c r="BG35" s="40">
        <v>10</v>
      </c>
      <c r="BH35" s="40">
        <v>12.8</v>
      </c>
      <c r="BI35" s="40">
        <v>9.6999999999999993</v>
      </c>
      <c r="BJ35" s="40">
        <v>28.7</v>
      </c>
      <c r="BK35" s="40">
        <v>-15.6</v>
      </c>
      <c r="BL35" s="40">
        <v>4.2</v>
      </c>
      <c r="BM35" s="40">
        <v>3.1</v>
      </c>
      <c r="BN35" s="40">
        <v>2.4</v>
      </c>
      <c r="BO35" s="40">
        <v>2.4</v>
      </c>
      <c r="BP35" s="104">
        <v>6</v>
      </c>
      <c r="BQ35" s="105">
        <v>2.5</v>
      </c>
      <c r="BR35" s="73"/>
    </row>
    <row r="36" spans="1:70" ht="30">
      <c r="A36" s="188" t="s">
        <v>227</v>
      </c>
      <c r="B36" s="187" t="s">
        <v>228</v>
      </c>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c r="AD36" s="40"/>
      <c r="AE36" s="40"/>
      <c r="AF36" s="40">
        <v>-353.7</v>
      </c>
      <c r="AG36" s="40">
        <v>-345.7</v>
      </c>
      <c r="AH36" s="40">
        <v>-80.900000000000006</v>
      </c>
      <c r="AI36" s="40">
        <v>6.6</v>
      </c>
      <c r="AJ36" s="40">
        <v>17.399999999999999</v>
      </c>
      <c r="AK36" s="40">
        <v>13.5</v>
      </c>
      <c r="AL36" s="40">
        <v>10.1</v>
      </c>
      <c r="AM36" s="40">
        <v>6.3</v>
      </c>
      <c r="AN36" s="40">
        <v>3.4</v>
      </c>
      <c r="AO36" s="40">
        <v>1.9</v>
      </c>
      <c r="AP36" s="40"/>
      <c r="AQ36" s="40"/>
      <c r="AR36" s="40"/>
      <c r="AS36" s="40"/>
      <c r="AT36" s="40"/>
      <c r="AU36" s="40"/>
      <c r="AV36" s="40"/>
      <c r="AW36" s="40"/>
      <c r="AX36" s="40"/>
      <c r="AY36" s="40"/>
      <c r="AZ36" s="40"/>
      <c r="BA36" s="40"/>
      <c r="BB36" s="40"/>
      <c r="BC36" s="40"/>
      <c r="BD36" s="40"/>
      <c r="BE36" s="103"/>
      <c r="BF36" s="40">
        <v>-353.7</v>
      </c>
      <c r="BG36" s="40">
        <v>-345.7</v>
      </c>
      <c r="BH36" s="40">
        <v>-80.900000000000006</v>
      </c>
      <c r="BI36" s="40">
        <v>6.6</v>
      </c>
      <c r="BJ36" s="40">
        <v>17.399999999999999</v>
      </c>
      <c r="BK36" s="40">
        <v>13.5</v>
      </c>
      <c r="BL36" s="40">
        <v>10.1</v>
      </c>
      <c r="BM36" s="40">
        <v>6.3</v>
      </c>
      <c r="BN36" s="40">
        <v>3.4</v>
      </c>
      <c r="BO36" s="40">
        <v>1.9</v>
      </c>
      <c r="BP36" s="104">
        <v>-756.4</v>
      </c>
      <c r="BQ36" s="105">
        <v>-721.4</v>
      </c>
      <c r="BR36" s="73"/>
    </row>
    <row r="37" spans="1:70" ht="15">
      <c r="A37" s="188" t="s">
        <v>229</v>
      </c>
      <c r="B37" s="187" t="s">
        <v>230</v>
      </c>
      <c r="C37" s="40"/>
      <c r="D37" s="40"/>
      <c r="E37" s="40"/>
      <c r="F37" s="40"/>
      <c r="G37" s="40"/>
      <c r="H37" s="40"/>
      <c r="I37" s="40"/>
      <c r="J37" s="40"/>
      <c r="K37" s="40"/>
      <c r="L37" s="40"/>
      <c r="M37" s="40"/>
      <c r="N37" s="40"/>
      <c r="O37" s="40"/>
      <c r="P37" s="40"/>
      <c r="Q37" s="40"/>
      <c r="R37" s="40"/>
      <c r="S37" s="40"/>
      <c r="T37" s="40"/>
      <c r="U37" s="40"/>
      <c r="V37" s="40"/>
      <c r="W37" s="40"/>
      <c r="X37" s="40"/>
      <c r="Y37" s="40"/>
      <c r="Z37" s="40"/>
      <c r="AA37" s="40"/>
      <c r="AB37" s="40"/>
      <c r="AC37" s="40"/>
      <c r="AD37" s="40"/>
      <c r="AE37" s="40"/>
      <c r="AF37" s="40"/>
      <c r="AG37" s="40">
        <v>-18.8</v>
      </c>
      <c r="AH37" s="40">
        <v>-2</v>
      </c>
      <c r="AI37" s="44">
        <v>0</v>
      </c>
      <c r="AJ37" s="44">
        <v>0</v>
      </c>
      <c r="AK37" s="44">
        <v>0</v>
      </c>
      <c r="AL37" s="44">
        <v>0</v>
      </c>
      <c r="AM37" s="44">
        <v>0</v>
      </c>
      <c r="AN37" s="44">
        <v>0</v>
      </c>
      <c r="AO37" s="44">
        <v>0</v>
      </c>
      <c r="AP37" s="44">
        <v>0</v>
      </c>
      <c r="AQ37" s="40"/>
      <c r="AR37" s="40"/>
      <c r="AS37" s="40"/>
      <c r="AT37" s="40"/>
      <c r="AU37" s="40"/>
      <c r="AV37" s="40"/>
      <c r="AW37" s="40"/>
      <c r="AX37" s="40"/>
      <c r="AY37" s="40"/>
      <c r="AZ37" s="40"/>
      <c r="BA37" s="40"/>
      <c r="BB37" s="40"/>
      <c r="BC37" s="40"/>
      <c r="BD37" s="40"/>
      <c r="BE37" s="103"/>
      <c r="BF37" s="40">
        <v>-18.8</v>
      </c>
      <c r="BG37" s="40">
        <v>-2</v>
      </c>
      <c r="BH37" s="44">
        <v>0</v>
      </c>
      <c r="BI37" s="44">
        <v>0</v>
      </c>
      <c r="BJ37" s="44">
        <v>0</v>
      </c>
      <c r="BK37" s="44">
        <v>0</v>
      </c>
      <c r="BL37" s="44">
        <v>0</v>
      </c>
      <c r="BM37" s="44">
        <v>0</v>
      </c>
      <c r="BN37" s="44">
        <v>0</v>
      </c>
      <c r="BO37" s="44">
        <v>0</v>
      </c>
      <c r="BP37" s="104">
        <v>-20.9</v>
      </c>
      <c r="BQ37" s="40">
        <v>-20.9</v>
      </c>
      <c r="BR37" s="73"/>
    </row>
    <row r="38" spans="1:70" ht="15">
      <c r="A38" s="188" t="s">
        <v>231</v>
      </c>
      <c r="B38" s="187" t="s">
        <v>232</v>
      </c>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v>-70.400000000000006</v>
      </c>
      <c r="AH38" s="40">
        <v>-22.7</v>
      </c>
      <c r="AI38" s="40">
        <v>-41.6</v>
      </c>
      <c r="AJ38" s="40">
        <v>4.8</v>
      </c>
      <c r="AK38" s="40">
        <v>36.5</v>
      </c>
      <c r="AL38" s="40">
        <v>3.7</v>
      </c>
      <c r="AM38" s="40">
        <v>1.6</v>
      </c>
      <c r="AN38" s="40">
        <v>-2.4</v>
      </c>
      <c r="AO38" s="40">
        <v>6.8</v>
      </c>
      <c r="AP38" s="40">
        <v>2.8</v>
      </c>
      <c r="AQ38" s="40">
        <v>3.3</v>
      </c>
      <c r="AR38" s="40"/>
      <c r="AS38" s="40"/>
      <c r="AT38" s="40"/>
      <c r="AU38" s="40"/>
      <c r="AV38" s="40"/>
      <c r="AW38" s="40"/>
      <c r="AX38" s="40"/>
      <c r="AY38" s="40"/>
      <c r="AZ38" s="40"/>
      <c r="BA38" s="40"/>
      <c r="BB38" s="40"/>
      <c r="BC38" s="40"/>
      <c r="BD38" s="40"/>
      <c r="BE38" s="103"/>
      <c r="BF38" s="40">
        <v>-70.400000000000006</v>
      </c>
      <c r="BG38" s="40">
        <v>-22.7</v>
      </c>
      <c r="BH38" s="40">
        <v>-41.6</v>
      </c>
      <c r="BI38" s="40">
        <v>4.8</v>
      </c>
      <c r="BJ38" s="40">
        <v>36.5</v>
      </c>
      <c r="BK38" s="40">
        <v>3.7</v>
      </c>
      <c r="BL38" s="40">
        <v>1.6</v>
      </c>
      <c r="BM38" s="40">
        <v>-2.4</v>
      </c>
      <c r="BN38" s="40">
        <v>6.8</v>
      </c>
      <c r="BO38" s="40">
        <v>2.8</v>
      </c>
      <c r="BP38" s="104">
        <v>-93.4</v>
      </c>
      <c r="BQ38" s="40">
        <v>-80.900000000000006</v>
      </c>
      <c r="BR38" s="73"/>
    </row>
    <row r="39" spans="1:70" ht="15">
      <c r="A39" s="188" t="s">
        <v>233</v>
      </c>
      <c r="B39" s="187" t="s">
        <v>234</v>
      </c>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v>-279.8</v>
      </c>
      <c r="AI39" s="40">
        <v>-298.8</v>
      </c>
      <c r="AJ39" s="40">
        <v>-274.7</v>
      </c>
      <c r="AK39" s="40">
        <v>-305.39999999999998</v>
      </c>
      <c r="AL39" s="40">
        <v>-336.6</v>
      </c>
      <c r="AM39" s="40">
        <v>-367.4</v>
      </c>
      <c r="AN39" s="40">
        <v>-393.1</v>
      </c>
      <c r="AO39" s="40">
        <v>-425.6</v>
      </c>
      <c r="AP39" s="40">
        <v>-460.5</v>
      </c>
      <c r="AQ39" s="40">
        <v>-496.8</v>
      </c>
      <c r="AR39" s="40"/>
      <c r="AS39" s="40"/>
      <c r="AT39" s="40"/>
      <c r="AU39" s="40"/>
      <c r="AV39" s="40"/>
      <c r="AW39" s="40"/>
      <c r="AX39" s="40"/>
      <c r="AY39" s="40"/>
      <c r="AZ39" s="40"/>
      <c r="BA39" s="40"/>
      <c r="BB39" s="40"/>
      <c r="BC39" s="40"/>
      <c r="BD39" s="40"/>
      <c r="BE39" s="103"/>
      <c r="BF39" s="40">
        <v>-279.8</v>
      </c>
      <c r="BG39" s="40">
        <v>-298.8</v>
      </c>
      <c r="BH39" s="40">
        <v>-274.7</v>
      </c>
      <c r="BI39" s="40">
        <v>-305.39999999999998</v>
      </c>
      <c r="BJ39" s="40">
        <v>-336.6</v>
      </c>
      <c r="BK39" s="40">
        <v>-367.4</v>
      </c>
      <c r="BL39" s="40">
        <v>-393.1</v>
      </c>
      <c r="BM39" s="40">
        <v>-425.6</v>
      </c>
      <c r="BN39" s="40">
        <v>-460.5</v>
      </c>
      <c r="BO39" s="40">
        <v>-496.8</v>
      </c>
      <c r="BP39" s="104">
        <v>-1495.3</v>
      </c>
      <c r="BQ39" s="40">
        <v>-3638.8</v>
      </c>
      <c r="BR39" s="73"/>
    </row>
    <row r="40" spans="1:70" ht="15">
      <c r="A40" s="188" t="s">
        <v>235</v>
      </c>
      <c r="B40" s="187" t="s">
        <v>236</v>
      </c>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v>-81.2</v>
      </c>
      <c r="AK40" s="40">
        <v>18.399999999999999</v>
      </c>
      <c r="AL40" s="40">
        <v>10.8</v>
      </c>
      <c r="AM40" s="40">
        <v>7.3</v>
      </c>
      <c r="AN40" s="40">
        <v>4.8</v>
      </c>
      <c r="AO40" s="40">
        <v>1.4</v>
      </c>
      <c r="AP40" s="40">
        <v>0.3</v>
      </c>
      <c r="AQ40" s="40">
        <v>-0.8</v>
      </c>
      <c r="AR40" s="40">
        <v>-1.3</v>
      </c>
      <c r="AS40" s="40">
        <v>-1.2</v>
      </c>
      <c r="AT40" s="40"/>
      <c r="AU40" s="40"/>
      <c r="AV40" s="40"/>
      <c r="AW40" s="40"/>
      <c r="AX40" s="40"/>
      <c r="AY40" s="40"/>
      <c r="AZ40" s="40"/>
      <c r="BA40" s="40"/>
      <c r="BB40" s="40"/>
      <c r="BC40" s="40"/>
      <c r="BD40" s="40"/>
      <c r="BE40" s="103"/>
      <c r="BF40" s="40">
        <v>-81.2</v>
      </c>
      <c r="BG40" s="40">
        <v>18.399999999999999</v>
      </c>
      <c r="BH40" s="40">
        <v>10.8</v>
      </c>
      <c r="BI40" s="40">
        <v>7.3</v>
      </c>
      <c r="BJ40" s="40">
        <v>4.8</v>
      </c>
      <c r="BK40" s="40">
        <v>1.4</v>
      </c>
      <c r="BL40" s="40">
        <v>0.3</v>
      </c>
      <c r="BM40" s="40">
        <v>-0.8</v>
      </c>
      <c r="BN40" s="40">
        <v>-1.3</v>
      </c>
      <c r="BO40" s="40">
        <v>-1.2</v>
      </c>
      <c r="BP40" s="104">
        <v>-39.9</v>
      </c>
      <c r="BQ40" s="40">
        <v>-41.4</v>
      </c>
      <c r="BR40" s="73"/>
    </row>
    <row r="41" spans="1:70" ht="15">
      <c r="A41" s="188" t="s">
        <v>237</v>
      </c>
      <c r="B41" s="187" t="s">
        <v>238</v>
      </c>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v>22.1</v>
      </c>
      <c r="AL41" s="40">
        <v>3.3</v>
      </c>
      <c r="AM41" s="40">
        <v>4</v>
      </c>
      <c r="AN41" s="40">
        <v>4.0999999999999996</v>
      </c>
      <c r="AO41" s="40">
        <v>4.5</v>
      </c>
      <c r="AP41" s="40">
        <v>4.8</v>
      </c>
      <c r="AQ41" s="40">
        <v>5.0999999999999996</v>
      </c>
      <c r="AR41" s="40">
        <v>5.5</v>
      </c>
      <c r="AS41" s="40">
        <v>6</v>
      </c>
      <c r="AT41" s="40">
        <v>6.5</v>
      </c>
      <c r="AU41" s="40"/>
      <c r="AV41" s="40"/>
      <c r="AW41" s="40"/>
      <c r="AX41" s="40"/>
      <c r="AY41" s="40"/>
      <c r="AZ41" s="40"/>
      <c r="BA41" s="40"/>
      <c r="BB41" s="40"/>
      <c r="BC41" s="40"/>
      <c r="BD41" s="40"/>
      <c r="BE41" s="103"/>
      <c r="BF41" s="40">
        <v>22.1</v>
      </c>
      <c r="BG41" s="40">
        <v>3.3</v>
      </c>
      <c r="BH41" s="40">
        <v>4</v>
      </c>
      <c r="BI41" s="40">
        <v>4.0999999999999996</v>
      </c>
      <c r="BJ41" s="40">
        <v>4.5</v>
      </c>
      <c r="BK41" s="40">
        <v>4.8</v>
      </c>
      <c r="BL41" s="40">
        <v>5.0999999999999996</v>
      </c>
      <c r="BM41" s="40">
        <v>5.5</v>
      </c>
      <c r="BN41" s="40">
        <v>6</v>
      </c>
      <c r="BO41" s="40">
        <v>6.5</v>
      </c>
      <c r="BP41" s="104">
        <v>38</v>
      </c>
      <c r="BQ41" s="40">
        <v>65.8</v>
      </c>
      <c r="BR41" s="73"/>
    </row>
    <row r="42" spans="1:70" ht="15">
      <c r="A42" s="188" t="s">
        <v>239</v>
      </c>
      <c r="B42" s="187" t="s">
        <v>240</v>
      </c>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v>-156.1</v>
      </c>
      <c r="AL42" s="40">
        <v>-95.4</v>
      </c>
      <c r="AM42" s="40">
        <v>-67.7</v>
      </c>
      <c r="AN42" s="40">
        <v>-55.1</v>
      </c>
      <c r="AO42" s="40">
        <v>-16.600000000000001</v>
      </c>
      <c r="AP42" s="40">
        <v>-1.3</v>
      </c>
      <c r="AQ42" s="40">
        <v>-17.7</v>
      </c>
      <c r="AR42" s="40">
        <v>-28.9</v>
      </c>
      <c r="AS42" s="40">
        <v>-38.6</v>
      </c>
      <c r="AT42" s="40">
        <v>-45.1</v>
      </c>
      <c r="AU42" s="40"/>
      <c r="AV42" s="40"/>
      <c r="AW42" s="40"/>
      <c r="AX42" s="40"/>
      <c r="AY42" s="40"/>
      <c r="AZ42" s="40"/>
      <c r="BA42" s="40"/>
      <c r="BB42" s="40"/>
      <c r="BC42" s="40"/>
      <c r="BD42" s="40"/>
      <c r="BE42" s="103"/>
      <c r="BF42" s="40">
        <v>-156.1</v>
      </c>
      <c r="BG42" s="40">
        <v>-95.4</v>
      </c>
      <c r="BH42" s="40">
        <v>-67.7</v>
      </c>
      <c r="BI42" s="40">
        <v>-55.1</v>
      </c>
      <c r="BJ42" s="40">
        <v>-16.600000000000001</v>
      </c>
      <c r="BK42" s="40">
        <v>-1.3</v>
      </c>
      <c r="BL42" s="40">
        <v>-17.7</v>
      </c>
      <c r="BM42" s="40">
        <v>-28.9</v>
      </c>
      <c r="BN42" s="40">
        <v>-38.6</v>
      </c>
      <c r="BO42" s="40">
        <v>-45.1</v>
      </c>
      <c r="BP42" s="104">
        <v>-391</v>
      </c>
      <c r="BQ42" s="40">
        <v>-522.6</v>
      </c>
      <c r="BR42" s="73"/>
    </row>
    <row r="43" spans="1:70" ht="28.25" customHeight="1">
      <c r="A43" s="188" t="s">
        <v>241</v>
      </c>
      <c r="B43" s="187" t="s">
        <v>242</v>
      </c>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v>-144.30000000000001</v>
      </c>
      <c r="AN43" s="40">
        <v>-270.89999999999998</v>
      </c>
      <c r="AO43" s="40">
        <v>-257</v>
      </c>
      <c r="AP43" s="40">
        <v>-234.8</v>
      </c>
      <c r="AQ43" s="40">
        <v>-199.6</v>
      </c>
      <c r="AR43" s="40">
        <v>-163.9</v>
      </c>
      <c r="AS43" s="40">
        <v>-148.9</v>
      </c>
      <c r="AT43" s="40">
        <v>-146.4</v>
      </c>
      <c r="AU43" s="40">
        <v>-61.5</v>
      </c>
      <c r="AV43" s="40">
        <v>-19.8</v>
      </c>
      <c r="AW43" s="40"/>
      <c r="AX43" s="40"/>
      <c r="AY43" s="40"/>
      <c r="AZ43" s="40"/>
      <c r="BA43" s="40"/>
      <c r="BB43" s="40"/>
      <c r="BC43" s="40"/>
      <c r="BD43" s="40"/>
      <c r="BE43" s="103"/>
      <c r="BF43" s="40">
        <v>-144.30000000000001</v>
      </c>
      <c r="BG43" s="40">
        <v>-270.89999999999998</v>
      </c>
      <c r="BH43" s="40">
        <v>-257</v>
      </c>
      <c r="BI43" s="40">
        <v>-234.8</v>
      </c>
      <c r="BJ43" s="40">
        <v>-199.6</v>
      </c>
      <c r="BK43" s="40">
        <v>-163.9</v>
      </c>
      <c r="BL43" s="40">
        <v>-148.9</v>
      </c>
      <c r="BM43" s="40">
        <v>-146.4</v>
      </c>
      <c r="BN43" s="40">
        <v>-61.5</v>
      </c>
      <c r="BO43" s="40">
        <v>-19.8</v>
      </c>
      <c r="BP43" s="104">
        <v>-1106.5999999999999</v>
      </c>
      <c r="BQ43" s="40">
        <v>-1647.1</v>
      </c>
      <c r="BR43" s="216"/>
    </row>
    <row r="44" spans="1:70" ht="15">
      <c r="A44" s="188" t="s">
        <v>243</v>
      </c>
      <c r="B44" s="187" t="s">
        <v>244</v>
      </c>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v>-34.463999999999999</v>
      </c>
      <c r="AP44" s="40">
        <v>-26.512</v>
      </c>
      <c r="AQ44" s="40">
        <v>-27.748000000000001</v>
      </c>
      <c r="AR44" s="40">
        <v>-33.537999999999997</v>
      </c>
      <c r="AS44" s="40">
        <v>-36.39</v>
      </c>
      <c r="AT44" s="40">
        <v>-42.658999999999999</v>
      </c>
      <c r="AU44" s="40">
        <v>-45.682000000000002</v>
      </c>
      <c r="AV44" s="40">
        <v>-52.039000000000001</v>
      </c>
      <c r="AW44" s="40">
        <v>-57.231999999999999</v>
      </c>
      <c r="AX44" s="40">
        <v>-65.56</v>
      </c>
      <c r="AY44" s="40"/>
      <c r="AZ44" s="40"/>
      <c r="BA44" s="40"/>
      <c r="BB44" s="40"/>
      <c r="BC44" s="40"/>
      <c r="BD44" s="40"/>
      <c r="BE44" s="103"/>
      <c r="BF44" s="40">
        <v>-34.463999999999999</v>
      </c>
      <c r="BG44" s="40">
        <v>-26.512</v>
      </c>
      <c r="BH44" s="40">
        <v>-27.748000000000001</v>
      </c>
      <c r="BI44" s="40">
        <v>-33.537999999999997</v>
      </c>
      <c r="BJ44" s="40">
        <v>-36.39</v>
      </c>
      <c r="BK44" s="40">
        <v>-42.658999999999999</v>
      </c>
      <c r="BL44" s="40">
        <v>-45.682000000000002</v>
      </c>
      <c r="BM44" s="40">
        <v>-52.039000000000001</v>
      </c>
      <c r="BN44" s="40">
        <v>-57.231999999999999</v>
      </c>
      <c r="BO44" s="40">
        <v>-65.56</v>
      </c>
      <c r="BP44" s="104">
        <v>-158.65199999999999</v>
      </c>
      <c r="BQ44" s="40">
        <v>-421.82400000000001</v>
      </c>
      <c r="BR44" s="216"/>
    </row>
    <row r="45" spans="1:70" ht="15">
      <c r="A45" s="188" t="s">
        <v>245</v>
      </c>
      <c r="B45" s="187" t="s">
        <v>246</v>
      </c>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v>-89.024000000000001</v>
      </c>
      <c r="AP45" s="40">
        <v>-15.582000000000001</v>
      </c>
      <c r="AQ45" s="44">
        <v>0</v>
      </c>
      <c r="AR45" s="44">
        <v>0</v>
      </c>
      <c r="AS45" s="44">
        <v>0</v>
      </c>
      <c r="AT45" s="44">
        <v>0</v>
      </c>
      <c r="AU45" s="44">
        <v>0</v>
      </c>
      <c r="AV45" s="44">
        <v>0</v>
      </c>
      <c r="AW45" s="44">
        <v>0</v>
      </c>
      <c r="AX45" s="44">
        <v>0</v>
      </c>
      <c r="AY45" s="44">
        <v>0</v>
      </c>
      <c r="AZ45" s="44"/>
      <c r="BA45" s="40"/>
      <c r="BB45" s="40"/>
      <c r="BC45" s="40"/>
      <c r="BD45" s="40"/>
      <c r="BE45" s="103"/>
      <c r="BF45" s="40">
        <v>-89.024000000000001</v>
      </c>
      <c r="BG45" s="40">
        <v>-15.582000000000001</v>
      </c>
      <c r="BH45" s="44">
        <v>0</v>
      </c>
      <c r="BI45" s="44">
        <v>0</v>
      </c>
      <c r="BJ45" s="44">
        <v>0</v>
      </c>
      <c r="BK45" s="44">
        <v>0</v>
      </c>
      <c r="BL45" s="44">
        <v>0</v>
      </c>
      <c r="BM45" s="44">
        <v>0</v>
      </c>
      <c r="BN45" s="44">
        <v>0</v>
      </c>
      <c r="BO45" s="44">
        <v>0</v>
      </c>
      <c r="BP45" s="104">
        <v>-104.60599999999999</v>
      </c>
      <c r="BQ45" s="40">
        <v>-104.60599999999999</v>
      </c>
      <c r="BR45" s="216"/>
    </row>
    <row r="46" spans="1:70" ht="15">
      <c r="A46" s="188" t="s">
        <v>247</v>
      </c>
      <c r="B46" s="187" t="s">
        <v>248</v>
      </c>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v>-440.017</v>
      </c>
      <c r="AP46" s="40">
        <v>-240.66300000000001</v>
      </c>
      <c r="AQ46" s="40">
        <v>176.965</v>
      </c>
      <c r="AR46" s="40">
        <v>173.077</v>
      </c>
      <c r="AS46" s="40">
        <v>8.7349999999999994</v>
      </c>
      <c r="AT46" s="40">
        <v>12.375999999999999</v>
      </c>
      <c r="AU46" s="40">
        <v>12.093999999999999</v>
      </c>
      <c r="AV46" s="40">
        <v>7.8289999999999997</v>
      </c>
      <c r="AW46" s="40">
        <v>5.2320000000000002</v>
      </c>
      <c r="AX46" s="40">
        <v>1.8360000000000001</v>
      </c>
      <c r="AY46" s="40">
        <v>2.2519999999999998</v>
      </c>
      <c r="AZ46" s="40"/>
      <c r="BA46" s="40"/>
      <c r="BB46" s="40"/>
      <c r="BC46" s="40"/>
      <c r="BD46" s="40"/>
      <c r="BE46" s="103"/>
      <c r="BF46" s="40">
        <v>-440.017</v>
      </c>
      <c r="BG46" s="40">
        <v>-240.66300000000001</v>
      </c>
      <c r="BH46" s="40">
        <v>176.965</v>
      </c>
      <c r="BI46" s="40">
        <v>173.077</v>
      </c>
      <c r="BJ46" s="40">
        <v>8.7349999999999994</v>
      </c>
      <c r="BK46" s="40">
        <v>12.375999999999999</v>
      </c>
      <c r="BL46" s="40">
        <v>12.093999999999999</v>
      </c>
      <c r="BM46" s="40">
        <v>7.8289999999999997</v>
      </c>
      <c r="BN46" s="40">
        <v>5.2320000000000002</v>
      </c>
      <c r="BO46" s="40">
        <v>1.8360000000000001</v>
      </c>
      <c r="BP46" s="104">
        <v>-321.90300000000002</v>
      </c>
      <c r="BQ46" s="40">
        <v>-282.536</v>
      </c>
      <c r="BR46" s="216"/>
    </row>
    <row r="47" spans="1:70" ht="15">
      <c r="A47" s="188" t="s">
        <v>249</v>
      </c>
      <c r="B47" s="187" t="s">
        <v>250</v>
      </c>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c r="AP47" s="40">
        <v>-39.353000000000002</v>
      </c>
      <c r="AQ47" s="40">
        <v>-23.306000000000001</v>
      </c>
      <c r="AR47" s="40">
        <v>-12.683999999999999</v>
      </c>
      <c r="AS47" s="40">
        <v>-13.015000000000001</v>
      </c>
      <c r="AT47" s="40">
        <v>-12.872999999999999</v>
      </c>
      <c r="AU47" s="40">
        <v>-8.6199999999999992</v>
      </c>
      <c r="AV47" s="40">
        <v>-7.56</v>
      </c>
      <c r="AW47" s="40">
        <v>-7.992</v>
      </c>
      <c r="AX47" s="40">
        <v>-8.7590000000000003</v>
      </c>
      <c r="AY47" s="40">
        <v>-9.4659999999999993</v>
      </c>
      <c r="AZ47" s="40"/>
      <c r="BA47" s="40"/>
      <c r="BB47" s="40"/>
      <c r="BC47" s="40"/>
      <c r="BD47" s="40"/>
      <c r="BE47" s="103"/>
      <c r="BF47" s="40">
        <v>-39.353000000000002</v>
      </c>
      <c r="BG47" s="40">
        <v>-23.306000000000001</v>
      </c>
      <c r="BH47" s="40">
        <v>-12.683999999999999</v>
      </c>
      <c r="BI47" s="40">
        <v>-13.015000000000001</v>
      </c>
      <c r="BJ47" s="40">
        <v>-12.872999999999999</v>
      </c>
      <c r="BK47" s="40">
        <v>-8.6199999999999992</v>
      </c>
      <c r="BL47" s="40">
        <v>-7.56</v>
      </c>
      <c r="BM47" s="40">
        <v>-7.992</v>
      </c>
      <c r="BN47" s="40">
        <v>-8.7590000000000003</v>
      </c>
      <c r="BO47" s="103">
        <v>-9.4659999999999993</v>
      </c>
      <c r="BP47" s="103">
        <v>-101.23099999999999</v>
      </c>
      <c r="BQ47" s="40">
        <v>-143.62799999999999</v>
      </c>
      <c r="BR47" s="216"/>
    </row>
    <row r="48" spans="1:70" ht="15">
      <c r="A48" s="188" t="s">
        <v>251</v>
      </c>
      <c r="B48" s="187" t="s">
        <v>252</v>
      </c>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c r="AP48" s="40">
        <v>-80.137</v>
      </c>
      <c r="AQ48" s="40">
        <v>-54.070999999999998</v>
      </c>
      <c r="AR48" s="40">
        <v>1.1879999999999999</v>
      </c>
      <c r="AS48" s="40">
        <v>4.125</v>
      </c>
      <c r="AT48" s="40">
        <v>4.8319999999999999</v>
      </c>
      <c r="AU48" s="40">
        <v>24.02</v>
      </c>
      <c r="AV48" s="40">
        <v>18.922999999999998</v>
      </c>
      <c r="AW48" s="40">
        <v>7.32</v>
      </c>
      <c r="AX48" s="40">
        <v>7.38</v>
      </c>
      <c r="AY48" s="40">
        <v>7.0910000000000002</v>
      </c>
      <c r="AZ48" s="40">
        <v>6.7880000000000003</v>
      </c>
      <c r="BA48" s="40"/>
      <c r="BB48" s="40"/>
      <c r="BC48" s="40"/>
      <c r="BD48" s="40"/>
      <c r="BE48" s="103"/>
      <c r="BF48" s="40">
        <v>-80.137</v>
      </c>
      <c r="BG48" s="40">
        <v>-54.070999999999998</v>
      </c>
      <c r="BH48" s="40">
        <v>1.1879999999999999</v>
      </c>
      <c r="BI48" s="40">
        <v>4.125</v>
      </c>
      <c r="BJ48" s="40">
        <v>4.8319999999999999</v>
      </c>
      <c r="BK48" s="40">
        <v>24.02</v>
      </c>
      <c r="BL48" s="40">
        <v>18.922999999999998</v>
      </c>
      <c r="BM48" s="40">
        <v>7.32</v>
      </c>
      <c r="BN48" s="40">
        <v>7.38</v>
      </c>
      <c r="BO48" s="103">
        <v>7.0910000000000002</v>
      </c>
      <c r="BP48" s="104">
        <v>-124.063</v>
      </c>
      <c r="BQ48" s="40">
        <v>-59.329000000000001</v>
      </c>
      <c r="BR48" s="216"/>
    </row>
    <row r="49" spans="1:70" ht="30">
      <c r="A49" s="188" t="s">
        <v>253</v>
      </c>
      <c r="B49" s="187" t="s">
        <v>286</v>
      </c>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c r="AP49" s="40"/>
      <c r="AQ49" s="40"/>
      <c r="AR49" s="40">
        <v>30.602</v>
      </c>
      <c r="AS49" s="40">
        <v>20.026</v>
      </c>
      <c r="AT49" s="40">
        <v>3.8170000000000002</v>
      </c>
      <c r="AU49" s="40">
        <v>-4.2450000000000001</v>
      </c>
      <c r="AV49" s="40">
        <v>20.620999999999999</v>
      </c>
      <c r="AW49" s="40">
        <v>28.696999999999999</v>
      </c>
      <c r="AX49" s="40">
        <v>10.798</v>
      </c>
      <c r="AY49" s="40">
        <v>-0.17899999999999999</v>
      </c>
      <c r="AZ49" s="40">
        <v>-1.47</v>
      </c>
      <c r="BA49" s="40">
        <v>-4.1459999999999999</v>
      </c>
      <c r="BB49" s="40"/>
      <c r="BC49" s="40"/>
      <c r="BD49" s="40"/>
      <c r="BE49" s="103"/>
      <c r="BF49" s="40">
        <v>30.602</v>
      </c>
      <c r="BG49" s="40">
        <v>20.026</v>
      </c>
      <c r="BH49" s="40">
        <v>3.8170000000000002</v>
      </c>
      <c r="BI49" s="40">
        <v>-4.2450000000000001</v>
      </c>
      <c r="BJ49" s="40">
        <v>20.620999999999999</v>
      </c>
      <c r="BK49" s="40">
        <v>28.696999999999999</v>
      </c>
      <c r="BL49" s="40">
        <v>10.798</v>
      </c>
      <c r="BM49" s="40">
        <v>-0.17899999999999999</v>
      </c>
      <c r="BN49" s="40">
        <v>-1.47</v>
      </c>
      <c r="BO49" s="103">
        <v>-4.1459999999999999</v>
      </c>
      <c r="BP49" s="104">
        <v>70.820999999999998</v>
      </c>
      <c r="BQ49" s="40">
        <v>104.521</v>
      </c>
      <c r="BR49" s="216"/>
    </row>
    <row r="50" spans="1:70" ht="30">
      <c r="A50" s="181" t="s">
        <v>255</v>
      </c>
      <c r="B50" s="110" t="s">
        <v>285</v>
      </c>
      <c r="C50" s="48"/>
      <c r="D50" s="48"/>
      <c r="E50" s="48"/>
      <c r="F50" s="48"/>
      <c r="G50" s="48"/>
      <c r="H50" s="48"/>
      <c r="I50" s="48"/>
      <c r="J50" s="48"/>
      <c r="K50" s="48"/>
      <c r="L50" s="48"/>
      <c r="M50" s="48"/>
      <c r="N50" s="48"/>
      <c r="O50" s="48"/>
      <c r="P50" s="48"/>
      <c r="Q50" s="48"/>
      <c r="R50" s="48"/>
      <c r="S50" s="48"/>
      <c r="T50" s="48"/>
      <c r="U50" s="48"/>
      <c r="V50" s="48"/>
      <c r="W50" s="48"/>
      <c r="X50" s="48"/>
      <c r="Y50" s="48"/>
      <c r="Z50" s="48"/>
      <c r="AA50" s="48"/>
      <c r="AB50" s="48"/>
      <c r="AC50" s="48"/>
      <c r="AD50" s="48"/>
      <c r="AE50" s="48"/>
      <c r="AF50" s="48"/>
      <c r="AG50" s="48"/>
      <c r="AH50" s="48"/>
      <c r="AI50" s="48"/>
      <c r="AJ50" s="48"/>
      <c r="AK50" s="48"/>
      <c r="AL50" s="48"/>
      <c r="AM50" s="48"/>
      <c r="AN50" s="48"/>
      <c r="AO50" s="48"/>
      <c r="AP50" s="48"/>
      <c r="AQ50" s="48"/>
      <c r="AR50" s="48"/>
      <c r="AS50" s="48"/>
      <c r="AT50" s="48">
        <v>-130.905</v>
      </c>
      <c r="AU50" s="48">
        <v>-460.50100000000003</v>
      </c>
      <c r="AV50" s="48">
        <v>-582.31299999999999</v>
      </c>
      <c r="AW50" s="48">
        <v>-581.62799999999993</v>
      </c>
      <c r="AX50" s="48">
        <v>-525.56999999999994</v>
      </c>
      <c r="AY50" s="48">
        <v>-445.19099999999997</v>
      </c>
      <c r="AZ50" s="48">
        <v>-412.53100000000006</v>
      </c>
      <c r="BA50" s="48">
        <v>-420.51600000000002</v>
      </c>
      <c r="BB50" s="48">
        <v>-447.68099999999993</v>
      </c>
      <c r="BC50" s="48">
        <v>-478.94800000000004</v>
      </c>
      <c r="BD50" s="48">
        <v>-500.98700000000002</v>
      </c>
      <c r="BE50" s="107"/>
      <c r="BF50" s="108">
        <v>-460.50100000000003</v>
      </c>
      <c r="BG50" s="48">
        <v>-582.31299999999999</v>
      </c>
      <c r="BH50" s="48">
        <v>-581.62799999999993</v>
      </c>
      <c r="BI50" s="48">
        <v>-525.56999999999994</v>
      </c>
      <c r="BJ50" s="48">
        <v>-445.19099999999997</v>
      </c>
      <c r="BK50" s="48">
        <v>-412.53100000000006</v>
      </c>
      <c r="BL50" s="48">
        <v>-420.51600000000002</v>
      </c>
      <c r="BM50" s="48">
        <v>-447.68099999999993</v>
      </c>
      <c r="BN50" s="48">
        <v>-478.94800000000004</v>
      </c>
      <c r="BO50" s="107">
        <v>-500.98700000000002</v>
      </c>
      <c r="BP50" s="109">
        <v>-2595.203</v>
      </c>
      <c r="BQ50" s="48">
        <v>-4855.866</v>
      </c>
      <c r="BR50" s="216"/>
    </row>
    <row r="51" spans="1:70">
      <c r="A51" s="73"/>
      <c r="B51" s="73"/>
      <c r="C51" s="158"/>
      <c r="D51" s="158"/>
      <c r="E51" s="158"/>
      <c r="F51" s="158"/>
      <c r="G51" s="158"/>
      <c r="H51" s="158"/>
      <c r="I51" s="158"/>
      <c r="J51" s="158"/>
      <c r="K51" s="158"/>
      <c r="L51" s="158"/>
      <c r="M51" s="158"/>
      <c r="N51" s="158"/>
      <c r="O51" s="158"/>
      <c r="P51" s="158"/>
      <c r="Q51" s="158"/>
      <c r="R51" s="158"/>
      <c r="S51" s="158"/>
      <c r="T51" s="158"/>
      <c r="U51" s="158"/>
      <c r="V51" s="158"/>
      <c r="W51" s="158"/>
      <c r="X51" s="158"/>
      <c r="Y51" s="158"/>
      <c r="Z51" s="158"/>
      <c r="AA51" s="158"/>
      <c r="AB51" s="158"/>
      <c r="AC51" s="158"/>
      <c r="AD51" s="158"/>
      <c r="AE51" s="158"/>
      <c r="AF51" s="158"/>
      <c r="AG51" s="158"/>
      <c r="AH51" s="158"/>
      <c r="AI51" s="158"/>
      <c r="AJ51" s="158"/>
      <c r="AK51" s="158"/>
      <c r="AL51" s="158"/>
      <c r="AM51" s="158"/>
      <c r="AN51" s="158"/>
      <c r="AO51" s="158"/>
      <c r="AP51" s="158"/>
      <c r="AQ51" s="158"/>
      <c r="AR51" s="158"/>
      <c r="AS51" s="158"/>
      <c r="AT51" s="158"/>
      <c r="AU51" s="158"/>
      <c r="AV51" s="158"/>
      <c r="AW51" s="158"/>
      <c r="AX51" s="158"/>
      <c r="AY51" s="158"/>
      <c r="AZ51" s="158"/>
      <c r="BA51" s="158"/>
      <c r="BB51" s="158"/>
      <c r="BC51" s="158"/>
      <c r="BD51" s="158"/>
      <c r="BE51" s="158"/>
      <c r="BF51" s="224"/>
      <c r="BG51" s="224"/>
      <c r="BH51" s="69"/>
      <c r="BI51" s="69"/>
      <c r="BJ51" s="69"/>
      <c r="BK51" s="69"/>
      <c r="BL51" s="69"/>
      <c r="BM51" s="69"/>
      <c r="BN51" s="69"/>
      <c r="BO51" s="69"/>
      <c r="BP51" s="69"/>
      <c r="BQ51" s="73"/>
      <c r="BR51" s="73"/>
    </row>
    <row r="52" spans="1:70">
      <c r="A52" s="178" t="s">
        <v>20</v>
      </c>
      <c r="B52" s="73"/>
      <c r="C52" s="158"/>
      <c r="D52" s="158"/>
      <c r="E52" s="158"/>
      <c r="F52" s="158"/>
      <c r="G52" s="158"/>
      <c r="H52" s="158"/>
      <c r="I52" s="158"/>
      <c r="J52" s="158"/>
      <c r="K52" s="158"/>
      <c r="L52" s="158"/>
      <c r="M52" s="158"/>
      <c r="N52" s="158"/>
      <c r="O52" s="158"/>
      <c r="P52" s="158"/>
      <c r="Q52" s="158"/>
      <c r="R52" s="158"/>
      <c r="S52" s="158"/>
      <c r="T52" s="158"/>
      <c r="U52" s="158"/>
      <c r="V52" s="158"/>
      <c r="W52" s="158"/>
      <c r="X52" s="158"/>
      <c r="Y52" s="158"/>
      <c r="Z52" s="158"/>
      <c r="AA52" s="158"/>
      <c r="AB52" s="158"/>
      <c r="AC52" s="158"/>
      <c r="AD52" s="158"/>
      <c r="AE52" s="158"/>
      <c r="AF52" s="158"/>
      <c r="AG52" s="158"/>
      <c r="AH52" s="158"/>
      <c r="AI52" s="158"/>
      <c r="AJ52" s="158"/>
      <c r="AK52" s="158"/>
      <c r="AL52" s="158"/>
      <c r="AM52" s="158"/>
      <c r="AN52" s="158"/>
      <c r="AO52" s="158"/>
      <c r="AP52" s="158"/>
      <c r="AQ52" s="158"/>
      <c r="AR52" s="158"/>
      <c r="AS52" s="158"/>
      <c r="AT52" s="176"/>
      <c r="AU52" s="176"/>
      <c r="AV52" s="176"/>
      <c r="AW52" s="176"/>
      <c r="AX52" s="176"/>
      <c r="AY52" s="176"/>
      <c r="AZ52" s="176"/>
      <c r="BA52" s="176"/>
      <c r="BB52" s="176"/>
      <c r="BC52" s="176"/>
      <c r="BD52" s="176"/>
      <c r="BE52" s="158"/>
      <c r="BF52" s="78"/>
      <c r="BG52" s="78"/>
      <c r="BH52" s="78"/>
      <c r="BI52" s="78"/>
      <c r="BJ52" s="78"/>
      <c r="BK52" s="78"/>
      <c r="BL52" s="78"/>
      <c r="BM52" s="78"/>
      <c r="BN52" s="78"/>
      <c r="BO52" s="78"/>
      <c r="BP52" s="78"/>
      <c r="BQ52" s="73"/>
      <c r="BR52" s="73"/>
    </row>
    <row r="53" spans="1:70">
      <c r="A53" s="114" t="s">
        <v>257</v>
      </c>
      <c r="B53" s="73"/>
      <c r="C53" s="112">
        <v>3313.35</v>
      </c>
      <c r="D53" s="112">
        <v>3536</v>
      </c>
      <c r="E53" s="112">
        <v>3949.1750000000002</v>
      </c>
      <c r="F53" s="112">
        <v>4265.125</v>
      </c>
      <c r="G53" s="112">
        <v>4526.25</v>
      </c>
      <c r="H53" s="112">
        <v>4767.6499999999996</v>
      </c>
      <c r="I53" s="112">
        <v>5138.55</v>
      </c>
      <c r="J53" s="112">
        <v>5554.6750000000002</v>
      </c>
      <c r="K53" s="112">
        <v>5898.75</v>
      </c>
      <c r="L53" s="112">
        <v>6093.1750000000002</v>
      </c>
      <c r="M53" s="112">
        <v>6416.25</v>
      </c>
      <c r="N53" s="112">
        <v>6775.3249999999998</v>
      </c>
      <c r="O53" s="112">
        <v>7176.85</v>
      </c>
      <c r="P53" s="112">
        <v>7560.4250000000002</v>
      </c>
      <c r="Q53" s="112">
        <v>7951.3249999999998</v>
      </c>
      <c r="R53" s="112">
        <v>8451.0249999999996</v>
      </c>
      <c r="S53" s="112">
        <v>8930.7999999999993</v>
      </c>
      <c r="T53" s="112">
        <v>9479.625</v>
      </c>
      <c r="U53" s="112">
        <v>10117.075000000001</v>
      </c>
      <c r="V53" s="112">
        <v>10525.725</v>
      </c>
      <c r="W53" s="112">
        <v>10828.875</v>
      </c>
      <c r="X53" s="112">
        <v>11278.75</v>
      </c>
      <c r="Y53" s="112">
        <v>12028.424999999999</v>
      </c>
      <c r="Z53" s="112">
        <v>12839.95</v>
      </c>
      <c r="AA53" s="112">
        <v>13636.75</v>
      </c>
      <c r="AB53" s="112">
        <v>14305.375</v>
      </c>
      <c r="AC53" s="112">
        <v>14796.575000000001</v>
      </c>
      <c r="AD53" s="112">
        <v>14467.3</v>
      </c>
      <c r="AE53" s="112">
        <v>14884.4</v>
      </c>
      <c r="AF53" s="112">
        <v>15466.525</v>
      </c>
      <c r="AG53" s="112">
        <v>16109.424999999999</v>
      </c>
      <c r="AH53" s="112">
        <v>16687.775000000001</v>
      </c>
      <c r="AI53" s="112">
        <v>17428.099999999999</v>
      </c>
      <c r="AJ53" s="112">
        <v>18164.25</v>
      </c>
      <c r="AK53" s="112">
        <v>18641.325000000001</v>
      </c>
      <c r="AL53" s="112">
        <v>19375.174999999999</v>
      </c>
      <c r="AM53" s="15">
        <v>20436.325000000001</v>
      </c>
      <c r="AN53" s="15">
        <v>21286.15</v>
      </c>
      <c r="AO53" s="15">
        <v>21336.775000000001</v>
      </c>
      <c r="AP53" s="15">
        <v>23044.05</v>
      </c>
      <c r="AQ53" s="15">
        <v>25565.375</v>
      </c>
      <c r="AR53" s="15">
        <v>27397.95</v>
      </c>
      <c r="AS53" s="15">
        <v>28947.9</v>
      </c>
      <c r="AT53" s="15">
        <v>30362.025000000001</v>
      </c>
      <c r="AU53" s="15">
        <v>31902.006000000001</v>
      </c>
      <c r="AV53" s="15">
        <v>33315.186999999998</v>
      </c>
      <c r="AW53" s="113">
        <v>34665.785000000003</v>
      </c>
      <c r="AX53" s="113">
        <v>36010.048999999999</v>
      </c>
      <c r="AY53" s="113">
        <v>37390.673000000003</v>
      </c>
      <c r="AZ53" s="113">
        <v>38812.821000000004</v>
      </c>
      <c r="BA53" s="113">
        <v>40276.527000000002</v>
      </c>
      <c r="BB53" s="113">
        <v>41795.93</v>
      </c>
      <c r="BC53" s="113">
        <v>43373.322999999997</v>
      </c>
      <c r="BD53" s="5">
        <v>45011.5</v>
      </c>
      <c r="BE53" s="6">
        <v>46712.142</v>
      </c>
      <c r="BG53" s="69"/>
      <c r="BH53" s="69"/>
      <c r="BI53" s="69"/>
      <c r="BJ53" s="69"/>
      <c r="BK53" s="69"/>
      <c r="BL53" s="69"/>
      <c r="BM53" s="69"/>
      <c r="BN53" s="69"/>
      <c r="BO53" s="69"/>
      <c r="BP53" s="69"/>
      <c r="BQ53" s="73"/>
      <c r="BR53" s="73"/>
    </row>
    <row r="54" spans="1:70">
      <c r="A54" s="114" t="s">
        <v>258</v>
      </c>
      <c r="B54" s="73"/>
      <c r="C54" s="15">
        <v>2028.4749999999999</v>
      </c>
      <c r="D54" s="15">
        <v>2224.875</v>
      </c>
      <c r="E54" s="15">
        <v>2445.0250000000001</v>
      </c>
      <c r="F54" s="15">
        <v>2658.4250000000002</v>
      </c>
      <c r="G54" s="15">
        <v>2842.9250000000002</v>
      </c>
      <c r="H54" s="15">
        <v>3026.75</v>
      </c>
      <c r="I54" s="15">
        <v>3259.1</v>
      </c>
      <c r="J54" s="15">
        <v>3521.9749999999999</v>
      </c>
      <c r="K54" s="15">
        <v>3755.4250000000002</v>
      </c>
      <c r="L54" s="15">
        <v>3910.4250000000002</v>
      </c>
      <c r="M54" s="15">
        <v>4120.7749999999996</v>
      </c>
      <c r="N54" s="15">
        <v>4390.625</v>
      </c>
      <c r="O54" s="15">
        <v>4652.4750000000004</v>
      </c>
      <c r="P54" s="15">
        <v>4905.3500000000004</v>
      </c>
      <c r="Q54" s="15">
        <v>5170.3249999999998</v>
      </c>
      <c r="R54" s="15">
        <v>5459.1</v>
      </c>
      <c r="S54" s="15">
        <v>5786.0749999999998</v>
      </c>
      <c r="T54" s="15">
        <v>6174.0249999999996</v>
      </c>
      <c r="U54" s="15">
        <v>6654.2749999999996</v>
      </c>
      <c r="V54" s="15">
        <v>7006.625</v>
      </c>
      <c r="W54" s="15">
        <v>7277.5249999999996</v>
      </c>
      <c r="X54" s="15">
        <v>7630.65</v>
      </c>
      <c r="Y54" s="15">
        <v>8098.1750000000002</v>
      </c>
      <c r="Z54" s="15">
        <v>8642.375</v>
      </c>
      <c r="AA54" s="15">
        <v>9159.2250000000004</v>
      </c>
      <c r="AB54" s="15">
        <v>9619.15</v>
      </c>
      <c r="AC54" s="15">
        <v>10057.625</v>
      </c>
      <c r="AD54" s="15">
        <v>9866.7000000000007</v>
      </c>
      <c r="AE54" s="15">
        <v>10153.924999999999</v>
      </c>
      <c r="AF54" s="15">
        <v>10604.125</v>
      </c>
      <c r="AG54" s="15">
        <v>10958.25</v>
      </c>
      <c r="AH54" s="15">
        <v>11291.875</v>
      </c>
      <c r="AI54" s="15">
        <v>11741.875</v>
      </c>
      <c r="AJ54" s="15">
        <v>12212</v>
      </c>
      <c r="AK54" s="15">
        <v>12602.2</v>
      </c>
      <c r="AL54" s="15">
        <v>13133.275</v>
      </c>
      <c r="AM54" s="15">
        <v>13797.5</v>
      </c>
      <c r="AN54" s="15">
        <v>14287.1</v>
      </c>
      <c r="AO54" s="15">
        <v>14219.15</v>
      </c>
      <c r="AP54" s="15">
        <v>15603.375</v>
      </c>
      <c r="AQ54" s="15">
        <v>17365.924999999999</v>
      </c>
      <c r="AR54" s="15">
        <v>18563.325000000001</v>
      </c>
      <c r="AS54" s="15">
        <v>19605.825000000001</v>
      </c>
      <c r="AT54" s="15">
        <v>20695.277999999998</v>
      </c>
      <c r="AU54" s="15">
        <v>21671.328000000001</v>
      </c>
      <c r="AV54" s="15">
        <v>22602.044000000002</v>
      </c>
      <c r="AW54" s="15">
        <v>23473.339</v>
      </c>
      <c r="AX54" s="15">
        <v>24365.794000000002</v>
      </c>
      <c r="AY54" s="15">
        <v>25339.144</v>
      </c>
      <c r="AZ54" s="15">
        <v>26353.965</v>
      </c>
      <c r="BA54" s="15">
        <v>27369.46</v>
      </c>
      <c r="BB54" s="15">
        <v>28436.411</v>
      </c>
      <c r="BC54" s="15">
        <v>29571.762999999999</v>
      </c>
      <c r="BD54" s="15">
        <v>30745.433000000001</v>
      </c>
      <c r="BE54" s="15">
        <v>31989.631000000001</v>
      </c>
      <c r="BF54" s="80"/>
      <c r="BG54" s="69"/>
      <c r="BH54" s="69"/>
      <c r="BI54" s="69"/>
      <c r="BJ54" s="69"/>
      <c r="BK54" s="69"/>
      <c r="BL54" s="69"/>
      <c r="BM54" s="69"/>
      <c r="BN54" s="69"/>
      <c r="BO54" s="69"/>
      <c r="BP54" s="69"/>
      <c r="BQ54" s="73"/>
      <c r="BR54" s="73"/>
    </row>
    <row r="55" spans="1:70">
      <c r="A55" s="114" t="s">
        <v>259</v>
      </c>
      <c r="B55" s="73"/>
      <c r="C55" s="157">
        <v>617.76599999999996</v>
      </c>
      <c r="D55" s="157">
        <v>600.56200000000001</v>
      </c>
      <c r="E55" s="157">
        <v>666.43799999999999</v>
      </c>
      <c r="F55" s="157">
        <v>734.03700000000003</v>
      </c>
      <c r="G55" s="157">
        <v>769.15499999999997</v>
      </c>
      <c r="H55" s="157">
        <v>854.28700000000003</v>
      </c>
      <c r="I55" s="157">
        <v>909.23800000000006</v>
      </c>
      <c r="J55" s="157">
        <v>991.10400000000004</v>
      </c>
      <c r="K55" s="157">
        <v>1031.9580000000001</v>
      </c>
      <c r="L55" s="157">
        <v>1054.9880000000001</v>
      </c>
      <c r="M55" s="157">
        <v>1091.2080000000001</v>
      </c>
      <c r="N55" s="157">
        <v>1154.3340000000001</v>
      </c>
      <c r="O55" s="157">
        <v>1258.566</v>
      </c>
      <c r="P55" s="157">
        <v>1351.79</v>
      </c>
      <c r="Q55" s="157">
        <v>1453.0530000000001</v>
      </c>
      <c r="R55" s="157">
        <v>1579.232</v>
      </c>
      <c r="S55" s="157">
        <v>1721.7280000000001</v>
      </c>
      <c r="T55" s="157">
        <v>1827.452</v>
      </c>
      <c r="U55" s="157">
        <v>2025.191</v>
      </c>
      <c r="V55" s="157">
        <v>1991.0820000000001</v>
      </c>
      <c r="W55" s="157">
        <v>1853.136</v>
      </c>
      <c r="X55" s="157">
        <v>1782.3140000000001</v>
      </c>
      <c r="Y55" s="157">
        <v>1880.114</v>
      </c>
      <c r="Z55" s="157">
        <v>2153.6109999999999</v>
      </c>
      <c r="AA55" s="157">
        <v>2406.8690000000001</v>
      </c>
      <c r="AB55" s="157">
        <v>2567.9850000000001</v>
      </c>
      <c r="AC55" s="157">
        <v>2523.991</v>
      </c>
      <c r="AD55" s="157">
        <v>2104.989</v>
      </c>
      <c r="AE55" s="157">
        <v>2162.7060000000001</v>
      </c>
      <c r="AF55" s="157">
        <v>2303.4659999999999</v>
      </c>
      <c r="AG55" s="157">
        <v>2449.9899999999998</v>
      </c>
      <c r="AH55" s="157">
        <v>2775.1060000000002</v>
      </c>
      <c r="AI55" s="157">
        <v>3021.491</v>
      </c>
      <c r="AJ55" s="157">
        <v>3249.89</v>
      </c>
      <c r="AK55" s="157">
        <v>3267.9650000000001</v>
      </c>
      <c r="AL55" s="157">
        <v>3316.1840000000002</v>
      </c>
      <c r="AM55" s="15">
        <v>3329.9070000000002</v>
      </c>
      <c r="AN55" s="15">
        <v>3463.364</v>
      </c>
      <c r="AO55" s="15">
        <v>3421.1640000000002</v>
      </c>
      <c r="AP55" s="15">
        <v>4047.1109999999999</v>
      </c>
      <c r="AQ55" s="15">
        <v>4897.3389999999999</v>
      </c>
      <c r="AR55" s="15">
        <v>4440.9470000000001</v>
      </c>
      <c r="AS55" s="15">
        <v>4918.1040000000003</v>
      </c>
      <c r="AT55" s="15">
        <v>5234.616</v>
      </c>
      <c r="AU55" s="15">
        <v>5595.9160000000002</v>
      </c>
      <c r="AV55" s="15">
        <v>5885.1980000000003</v>
      </c>
      <c r="AW55" s="15">
        <v>6071.4679999999998</v>
      </c>
      <c r="AX55" s="15">
        <v>6319.7889999999998</v>
      </c>
      <c r="AY55" s="15">
        <v>6594.9989999999998</v>
      </c>
      <c r="AZ55" s="15">
        <v>6869.4930000000004</v>
      </c>
      <c r="BA55" s="15">
        <v>7129.6819999999998</v>
      </c>
      <c r="BB55" s="15">
        <v>7391.4759999999997</v>
      </c>
      <c r="BC55" s="15">
        <v>7668.9229999999998</v>
      </c>
      <c r="BD55" s="25">
        <v>7971.8630000000003</v>
      </c>
      <c r="BE55" s="26">
        <v>8300.7549999999992</v>
      </c>
      <c r="BF55" s="69"/>
      <c r="BG55" s="69"/>
      <c r="BH55" s="69"/>
      <c r="BI55" s="69"/>
      <c r="BJ55" s="69"/>
      <c r="BK55" s="69"/>
      <c r="BL55" s="69"/>
      <c r="BM55" s="69"/>
      <c r="BN55" s="69"/>
      <c r="BO55" s="69"/>
      <c r="BP55" s="69"/>
      <c r="BQ55" s="73"/>
      <c r="BR55" s="73"/>
    </row>
    <row r="56" spans="1:70">
      <c r="A56" s="81"/>
      <c r="B56" s="70"/>
      <c r="C56" s="82"/>
      <c r="D56" s="82"/>
      <c r="E56" s="82"/>
      <c r="F56" s="82"/>
      <c r="G56" s="82"/>
      <c r="H56" s="82"/>
      <c r="I56" s="82"/>
      <c r="J56" s="82"/>
      <c r="K56" s="82"/>
      <c r="L56" s="82"/>
      <c r="M56" s="82"/>
      <c r="N56" s="82"/>
      <c r="O56" s="82"/>
      <c r="P56" s="82"/>
      <c r="Q56" s="82"/>
      <c r="R56" s="82"/>
      <c r="S56" s="82"/>
      <c r="T56" s="82"/>
      <c r="U56" s="82"/>
      <c r="V56" s="82"/>
      <c r="W56" s="82"/>
      <c r="X56" s="82"/>
      <c r="Y56" s="82"/>
      <c r="Z56" s="82"/>
      <c r="AA56" s="82"/>
      <c r="AB56" s="82"/>
      <c r="AC56" s="82"/>
      <c r="AD56" s="82"/>
      <c r="AE56" s="82"/>
      <c r="AF56" s="82"/>
      <c r="AG56" s="82"/>
      <c r="AH56" s="82"/>
      <c r="AI56" s="82"/>
      <c r="AJ56" s="82"/>
      <c r="AK56" s="82"/>
      <c r="AL56" s="82"/>
      <c r="AM56" s="83"/>
      <c r="AN56" s="83"/>
      <c r="AO56" s="83"/>
      <c r="AP56" s="83"/>
      <c r="AQ56" s="83"/>
      <c r="AR56" s="83"/>
      <c r="AS56" s="83"/>
      <c r="AT56" s="83"/>
      <c r="AU56" s="83"/>
      <c r="AV56" s="83"/>
      <c r="AW56" s="83"/>
      <c r="AX56" s="83"/>
      <c r="AY56" s="83"/>
      <c r="AZ56" s="83"/>
      <c r="BA56" s="77"/>
      <c r="BB56" s="77"/>
      <c r="BC56" s="77"/>
      <c r="BD56" s="77"/>
      <c r="BE56" s="77"/>
      <c r="BF56" s="77"/>
      <c r="BG56" s="77"/>
      <c r="BH56" s="77"/>
      <c r="BI56" s="77"/>
      <c r="BJ56" s="77"/>
      <c r="BK56" s="77"/>
      <c r="BL56" s="77"/>
      <c r="BM56" s="77"/>
      <c r="BN56" s="77"/>
      <c r="BO56" s="77"/>
      <c r="BP56" s="77"/>
      <c r="BQ56" s="70"/>
      <c r="BR56" s="73"/>
    </row>
    <row r="57" spans="1:70">
      <c r="A57" s="73"/>
      <c r="B57" s="73"/>
      <c r="C57" s="69"/>
      <c r="D57" s="69"/>
      <c r="E57" s="69"/>
      <c r="F57" s="69"/>
      <c r="G57" s="69"/>
      <c r="H57" s="69"/>
      <c r="I57" s="69"/>
      <c r="J57" s="69"/>
      <c r="K57" s="69"/>
      <c r="L57" s="69"/>
      <c r="M57" s="69"/>
      <c r="N57" s="69"/>
      <c r="O57" s="69"/>
      <c r="P57" s="69"/>
      <c r="Q57" s="69"/>
      <c r="R57" s="69"/>
      <c r="S57" s="69"/>
      <c r="T57" s="69"/>
      <c r="U57" s="69"/>
      <c r="V57" s="69"/>
      <c r="W57" s="69"/>
      <c r="X57" s="69"/>
      <c r="Y57" s="69"/>
      <c r="Z57" s="69"/>
      <c r="AA57" s="69"/>
      <c r="AB57" s="69"/>
      <c r="AC57" s="69"/>
      <c r="AD57" s="69"/>
      <c r="AE57" s="69"/>
      <c r="AF57" s="69"/>
      <c r="AG57" s="69"/>
      <c r="AH57" s="225"/>
      <c r="AI57" s="225"/>
      <c r="AJ57" s="225"/>
      <c r="AK57" s="225"/>
      <c r="AL57" s="225"/>
      <c r="AM57" s="225"/>
      <c r="AN57" s="225"/>
      <c r="AO57" s="225"/>
      <c r="AP57" s="225"/>
      <c r="AQ57" s="225"/>
      <c r="AR57" s="225"/>
      <c r="AS57" s="225"/>
      <c r="AT57" s="225"/>
      <c r="AU57" s="225"/>
      <c r="AV57" s="225"/>
      <c r="AW57" s="225"/>
      <c r="AX57" s="225"/>
      <c r="AY57" s="225"/>
      <c r="AZ57" s="225"/>
      <c r="BA57" s="225"/>
      <c r="BB57" s="225"/>
      <c r="BC57" s="225"/>
      <c r="BD57" s="225"/>
      <c r="BE57" s="225"/>
      <c r="BF57" s="69"/>
      <c r="BG57" s="69"/>
      <c r="BH57" s="69"/>
      <c r="BI57" s="69"/>
      <c r="BJ57" s="69"/>
      <c r="BK57" s="69"/>
      <c r="BL57" s="69"/>
      <c r="BM57" s="69"/>
      <c r="BN57" s="69"/>
      <c r="BO57" s="69"/>
      <c r="BP57" s="69"/>
      <c r="BQ57" s="73"/>
      <c r="BR57" s="73"/>
    </row>
    <row r="58" spans="1:70">
      <c r="A58" s="4" t="s">
        <v>24</v>
      </c>
      <c r="B58" s="177"/>
      <c r="C58" s="158"/>
      <c r="D58" s="158"/>
      <c r="E58" s="158"/>
      <c r="F58" s="158"/>
      <c r="G58" s="158"/>
      <c r="H58" s="158"/>
      <c r="I58" s="158"/>
      <c r="J58" s="158"/>
      <c r="K58" s="158"/>
      <c r="L58" s="158"/>
      <c r="M58" s="158"/>
      <c r="N58" s="158"/>
      <c r="O58" s="158"/>
      <c r="P58" s="158"/>
      <c r="Q58" s="158"/>
      <c r="R58" s="158"/>
      <c r="S58" s="158"/>
      <c r="T58" s="158"/>
      <c r="U58" s="158"/>
      <c r="V58" s="158"/>
      <c r="W58" s="158"/>
      <c r="X58" s="158"/>
      <c r="Y58" s="158"/>
      <c r="Z58" s="158"/>
      <c r="AA58" s="158"/>
      <c r="AB58" s="158"/>
      <c r="AC58" s="158"/>
      <c r="AD58" s="158"/>
      <c r="AE58" s="158"/>
      <c r="AF58" s="158"/>
      <c r="AG58" s="158"/>
      <c r="AH58" s="158"/>
      <c r="AI58" s="158"/>
      <c r="AJ58" s="158"/>
      <c r="AK58" s="158"/>
      <c r="AL58" s="158"/>
      <c r="AM58" s="158"/>
      <c r="AN58" s="158"/>
      <c r="AO58" s="158"/>
      <c r="AP58" s="176"/>
      <c r="AQ58" s="176"/>
      <c r="AR58" s="176"/>
      <c r="AS58" s="176"/>
      <c r="AT58" s="176"/>
      <c r="AU58" s="176"/>
      <c r="AV58" s="176"/>
      <c r="AW58" s="176"/>
      <c r="AX58" s="176"/>
      <c r="AY58" s="176"/>
      <c r="AZ58" s="176"/>
      <c r="BA58" s="176"/>
      <c r="BB58" s="176"/>
      <c r="BC58" s="176"/>
      <c r="BD58" s="176"/>
      <c r="BE58" s="69"/>
      <c r="BF58" s="69"/>
      <c r="BG58" s="69"/>
      <c r="BH58" s="69"/>
      <c r="BI58" s="69"/>
      <c r="BJ58" s="69"/>
      <c r="BK58" s="69"/>
      <c r="BL58" s="69"/>
      <c r="BM58" s="69"/>
      <c r="BN58" s="69"/>
      <c r="BO58" s="69"/>
      <c r="BP58" s="69"/>
      <c r="BQ58" s="73"/>
      <c r="BR58" s="73"/>
    </row>
    <row r="59" spans="1:70">
      <c r="A59" s="4"/>
      <c r="B59" s="177"/>
      <c r="C59" s="158"/>
      <c r="D59" s="158"/>
      <c r="E59" s="158"/>
      <c r="F59" s="158"/>
      <c r="G59" s="158"/>
      <c r="H59" s="158"/>
      <c r="I59" s="158"/>
      <c r="J59" s="158"/>
      <c r="K59" s="158"/>
      <c r="L59" s="158"/>
      <c r="M59" s="158"/>
      <c r="N59" s="158"/>
      <c r="O59" s="158"/>
      <c r="P59" s="158"/>
      <c r="Q59" s="158"/>
      <c r="R59" s="158"/>
      <c r="S59" s="158"/>
      <c r="T59" s="158"/>
      <c r="U59" s="158"/>
      <c r="V59" s="158"/>
      <c r="W59" s="158"/>
      <c r="X59" s="158"/>
      <c r="Y59" s="158"/>
      <c r="Z59" s="158"/>
      <c r="AA59" s="158"/>
      <c r="AB59" s="158"/>
      <c r="AC59" s="158"/>
      <c r="AD59" s="158"/>
      <c r="AE59" s="158"/>
      <c r="AF59" s="158"/>
      <c r="AG59" s="158"/>
      <c r="AH59" s="158"/>
      <c r="AI59" s="158"/>
      <c r="AJ59" s="158"/>
      <c r="AK59" s="158"/>
      <c r="AL59" s="158"/>
      <c r="AM59" s="158"/>
      <c r="AN59" s="158"/>
      <c r="AO59" s="158"/>
      <c r="AP59" s="176"/>
      <c r="AQ59" s="176"/>
      <c r="AR59" s="176"/>
      <c r="AS59" s="176"/>
      <c r="AT59" s="176"/>
      <c r="AU59" s="176"/>
      <c r="AV59" s="176"/>
      <c r="AW59" s="176"/>
      <c r="AX59" s="176"/>
      <c r="AY59" s="176"/>
      <c r="AZ59" s="176"/>
      <c r="BA59" s="176"/>
      <c r="BB59" s="176"/>
      <c r="BC59" s="176"/>
      <c r="BD59" s="176"/>
      <c r="BE59" s="69"/>
      <c r="BF59" s="69"/>
      <c r="BG59" s="69"/>
      <c r="BH59" s="69"/>
      <c r="BI59" s="69"/>
      <c r="BJ59" s="69"/>
      <c r="BK59" s="69"/>
      <c r="BL59" s="69"/>
      <c r="BM59" s="69"/>
      <c r="BN59" s="69"/>
      <c r="BO59" s="69"/>
      <c r="BP59" s="69"/>
      <c r="BQ59" s="73"/>
      <c r="BR59" s="73"/>
    </row>
    <row r="60" spans="1:70" ht="56.25" customHeight="1">
      <c r="A60" s="262" t="s">
        <v>260</v>
      </c>
      <c r="B60" s="262"/>
      <c r="C60" s="187"/>
      <c r="D60" s="187"/>
      <c r="E60" s="187"/>
      <c r="F60" s="187"/>
      <c r="G60" s="187"/>
      <c r="H60" s="187"/>
      <c r="I60" s="187"/>
      <c r="J60" s="187"/>
      <c r="K60" s="158"/>
      <c r="L60" s="158"/>
      <c r="M60" s="158"/>
      <c r="N60" s="158"/>
      <c r="O60" s="158"/>
      <c r="P60" s="158"/>
      <c r="Q60" s="158"/>
      <c r="R60" s="158"/>
      <c r="S60" s="158"/>
      <c r="T60" s="158"/>
      <c r="U60" s="158"/>
      <c r="V60" s="158"/>
      <c r="W60" s="158"/>
      <c r="X60" s="158"/>
      <c r="Y60" s="158"/>
      <c r="Z60" s="158"/>
      <c r="AA60" s="158"/>
      <c r="AB60" s="158"/>
      <c r="AC60" s="158"/>
      <c r="AD60" s="158"/>
      <c r="AE60" s="158"/>
      <c r="AF60" s="158"/>
      <c r="AG60" s="158"/>
      <c r="AH60" s="158"/>
      <c r="AI60" s="158"/>
      <c r="AJ60" s="158"/>
      <c r="AK60" s="158"/>
      <c r="AL60" s="158"/>
      <c r="AM60" s="158"/>
      <c r="AN60" s="158"/>
      <c r="AO60" s="158"/>
      <c r="AP60" s="176"/>
      <c r="AQ60" s="176"/>
      <c r="AR60" s="176"/>
      <c r="AS60" s="176"/>
      <c r="AT60" s="176"/>
      <c r="AU60" s="176"/>
      <c r="AV60" s="176"/>
      <c r="AW60" s="176"/>
      <c r="AX60" s="176"/>
      <c r="AY60" s="176"/>
      <c r="AZ60" s="176"/>
      <c r="BA60" s="176"/>
      <c r="BB60" s="176"/>
      <c r="BC60" s="176"/>
      <c r="BD60" s="176"/>
      <c r="BE60" s="176"/>
      <c r="BF60" s="176"/>
      <c r="BG60" s="69"/>
      <c r="BH60" s="69"/>
      <c r="BI60" s="69"/>
      <c r="BJ60" s="69"/>
      <c r="BK60" s="69"/>
      <c r="BL60" s="69"/>
      <c r="BM60" s="69"/>
      <c r="BN60" s="69"/>
      <c r="BO60" s="69"/>
      <c r="BP60" s="69"/>
      <c r="BQ60" s="73"/>
      <c r="BR60" s="73"/>
    </row>
    <row r="61" spans="1:70" ht="56" customHeight="1">
      <c r="A61" s="262" t="s">
        <v>261</v>
      </c>
      <c r="B61" s="262"/>
      <c r="C61" s="187"/>
      <c r="D61" s="187"/>
      <c r="E61" s="187"/>
      <c r="F61" s="187"/>
      <c r="G61" s="187"/>
      <c r="H61" s="187"/>
      <c r="I61" s="187"/>
      <c r="J61" s="78"/>
      <c r="K61" s="78"/>
      <c r="L61" s="78"/>
      <c r="M61" s="78"/>
      <c r="N61" s="78"/>
      <c r="O61" s="78"/>
      <c r="P61" s="78"/>
      <c r="Q61" s="78"/>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78"/>
      <c r="AU61" s="78"/>
      <c r="AV61" s="78"/>
      <c r="AW61" s="78"/>
      <c r="AX61" s="78"/>
      <c r="AY61" s="78"/>
      <c r="AZ61" s="78"/>
      <c r="BA61" s="69"/>
      <c r="BB61" s="69"/>
      <c r="BC61" s="69"/>
      <c r="BD61" s="69"/>
      <c r="BE61" s="69"/>
      <c r="BF61" s="69"/>
      <c r="BG61" s="69"/>
      <c r="BH61" s="69"/>
      <c r="BI61" s="69"/>
      <c r="BJ61" s="69"/>
      <c r="BK61" s="69"/>
      <c r="BL61" s="69"/>
      <c r="BM61" s="69"/>
      <c r="BN61" s="69"/>
      <c r="BO61" s="69"/>
      <c r="BP61" s="69"/>
      <c r="BQ61" s="73"/>
      <c r="BR61" s="73"/>
    </row>
    <row r="62" spans="1:70" s="190" customFormat="1" ht="42" customHeight="1">
      <c r="A62" s="248" t="s">
        <v>287</v>
      </c>
      <c r="B62" s="248"/>
      <c r="C62" s="183"/>
      <c r="D62" s="183"/>
      <c r="E62" s="183"/>
      <c r="F62" s="183"/>
      <c r="G62" s="183"/>
      <c r="H62" s="183"/>
      <c r="I62" s="183"/>
      <c r="J62" s="115"/>
      <c r="K62" s="115"/>
      <c r="L62" s="115"/>
      <c r="M62" s="115"/>
      <c r="N62" s="115"/>
      <c r="O62" s="115"/>
      <c r="P62" s="115"/>
      <c r="Q62" s="115"/>
      <c r="R62" s="115"/>
      <c r="S62" s="115"/>
      <c r="T62" s="115"/>
      <c r="U62" s="115"/>
      <c r="V62" s="115"/>
      <c r="W62" s="115"/>
      <c r="X62" s="115"/>
      <c r="Y62" s="115"/>
      <c r="Z62" s="115"/>
      <c r="AA62" s="115"/>
      <c r="AB62" s="115"/>
      <c r="AC62" s="115"/>
      <c r="AD62" s="115"/>
      <c r="AE62" s="115"/>
      <c r="AF62" s="115"/>
      <c r="AG62" s="115"/>
      <c r="AH62" s="115"/>
      <c r="AI62" s="115"/>
      <c r="AJ62" s="115"/>
      <c r="AK62" s="115"/>
      <c r="AL62" s="115"/>
      <c r="AM62" s="115"/>
      <c r="AN62" s="115"/>
      <c r="AO62" s="115"/>
      <c r="AP62" s="115"/>
      <c r="AQ62" s="115"/>
      <c r="AR62" s="115"/>
      <c r="AS62" s="115"/>
      <c r="AT62" s="115"/>
      <c r="AU62" s="115"/>
      <c r="AV62" s="115"/>
      <c r="AW62" s="115"/>
      <c r="AX62" s="115"/>
      <c r="AY62" s="115"/>
      <c r="AZ62" s="115"/>
      <c r="BA62" s="115"/>
      <c r="BB62" s="115"/>
      <c r="BC62" s="115"/>
      <c r="BD62" s="115"/>
      <c r="BE62" s="115"/>
      <c r="BF62" s="115"/>
      <c r="BG62" s="115"/>
      <c r="BH62" s="115"/>
      <c r="BI62" s="115"/>
      <c r="BJ62" s="115"/>
      <c r="BK62" s="115"/>
      <c r="BL62" s="115"/>
      <c r="BM62" s="115"/>
      <c r="BN62" s="115"/>
      <c r="BO62" s="115"/>
      <c r="BP62" s="115"/>
      <c r="BQ62" s="115"/>
      <c r="BR62" s="115"/>
    </row>
    <row r="63" spans="1:70">
      <c r="A63" s="70"/>
      <c r="B63" s="70"/>
      <c r="C63" s="77"/>
      <c r="D63" s="77"/>
      <c r="E63" s="77"/>
      <c r="F63" s="77"/>
      <c r="G63" s="77"/>
      <c r="H63" s="77"/>
      <c r="I63" s="77"/>
      <c r="J63" s="77"/>
      <c r="K63" s="77"/>
      <c r="L63" s="77"/>
      <c r="M63" s="77"/>
      <c r="N63" s="77"/>
      <c r="O63" s="77"/>
      <c r="P63" s="77"/>
      <c r="Q63" s="77"/>
      <c r="R63" s="77"/>
      <c r="S63" s="77"/>
      <c r="T63" s="77"/>
      <c r="U63" s="77"/>
      <c r="V63" s="77"/>
      <c r="W63" s="77"/>
      <c r="X63" s="77"/>
      <c r="Y63" s="77"/>
      <c r="Z63" s="77"/>
      <c r="AA63" s="77"/>
      <c r="AB63" s="77"/>
      <c r="AC63" s="226"/>
      <c r="AD63" s="226"/>
      <c r="AE63" s="226"/>
      <c r="AF63" s="226"/>
      <c r="AG63" s="226"/>
      <c r="AH63" s="226"/>
      <c r="AI63" s="226"/>
      <c r="AJ63" s="226"/>
      <c r="AK63" s="226"/>
      <c r="AL63" s="226"/>
      <c r="AM63" s="226"/>
      <c r="AN63" s="77"/>
      <c r="AO63" s="77"/>
      <c r="AP63" s="77"/>
      <c r="AQ63" s="77"/>
      <c r="AR63" s="77"/>
      <c r="AS63" s="77"/>
      <c r="AT63" s="77"/>
      <c r="AU63" s="77"/>
      <c r="AV63" s="77"/>
      <c r="AW63" s="77"/>
      <c r="AX63" s="77"/>
      <c r="AY63" s="77"/>
      <c r="AZ63" s="77"/>
      <c r="BA63" s="77"/>
      <c r="BB63" s="77"/>
      <c r="BC63" s="77"/>
      <c r="BD63" s="77"/>
      <c r="BE63" s="77"/>
      <c r="BF63" s="77"/>
      <c r="BG63" s="77"/>
      <c r="BH63" s="77"/>
      <c r="BI63" s="77"/>
      <c r="BJ63" s="77"/>
      <c r="BK63" s="77"/>
      <c r="BL63" s="77"/>
      <c r="BM63" s="77"/>
      <c r="BN63" s="77"/>
      <c r="BO63" s="77"/>
      <c r="BP63" s="77"/>
      <c r="BQ63" s="77"/>
      <c r="BR63" s="73"/>
    </row>
    <row r="64" spans="1:70">
      <c r="A64" s="73"/>
      <c r="B64" s="73"/>
      <c r="C64" s="73"/>
      <c r="D64" s="73"/>
      <c r="E64" s="73"/>
      <c r="F64" s="73"/>
      <c r="G64" s="73"/>
      <c r="H64" s="73"/>
      <c r="I64" s="73"/>
      <c r="J64" s="73"/>
      <c r="K64" s="73"/>
      <c r="L64" s="73"/>
      <c r="M64" s="73"/>
      <c r="N64" s="73"/>
      <c r="O64" s="73"/>
      <c r="P64" s="73"/>
      <c r="Q64" s="73"/>
      <c r="R64" s="73"/>
      <c r="S64" s="73"/>
      <c r="T64" s="73"/>
      <c r="U64" s="73"/>
      <c r="V64" s="73"/>
      <c r="W64" s="73"/>
      <c r="X64" s="73"/>
      <c r="Y64" s="73"/>
      <c r="Z64" s="73"/>
      <c r="AA64" s="73"/>
      <c r="AB64" s="73"/>
      <c r="AC64" s="73"/>
      <c r="AD64" s="73"/>
      <c r="AE64" s="73"/>
      <c r="AF64" s="73"/>
      <c r="AG64" s="73"/>
      <c r="AH64" s="73"/>
      <c r="AI64" s="73"/>
      <c r="AJ64" s="73"/>
      <c r="AK64" s="73"/>
      <c r="AL64" s="73"/>
      <c r="AM64" s="73"/>
      <c r="AN64" s="73"/>
      <c r="AO64" s="73"/>
      <c r="AP64" s="73"/>
      <c r="AQ64" s="73"/>
      <c r="AR64" s="73"/>
      <c r="AS64" s="73"/>
      <c r="AT64" s="73"/>
      <c r="AU64" s="73"/>
      <c r="AV64" s="73"/>
      <c r="AW64" s="73"/>
      <c r="AX64" s="73"/>
      <c r="AY64" s="73"/>
      <c r="AZ64" s="73"/>
      <c r="BA64" s="73"/>
      <c r="BB64" s="73"/>
      <c r="BC64" s="73"/>
      <c r="BD64" s="73"/>
      <c r="BE64" s="73"/>
      <c r="BF64" s="73"/>
      <c r="BG64" s="73"/>
      <c r="BH64" s="73"/>
      <c r="BI64" s="73"/>
      <c r="BJ64" s="73"/>
      <c r="BK64" s="73"/>
      <c r="BL64" s="73"/>
      <c r="BM64" s="73"/>
      <c r="BN64" s="73"/>
      <c r="BO64" s="73"/>
      <c r="BP64" s="73"/>
      <c r="BQ64" s="73"/>
      <c r="BR64" s="73"/>
    </row>
    <row r="65" spans="1:70">
      <c r="A65" s="261" t="s">
        <v>25</v>
      </c>
      <c r="B65" s="261"/>
      <c r="C65" s="261"/>
      <c r="D65" s="261"/>
      <c r="E65" s="261"/>
      <c r="F65" s="261"/>
      <c r="G65" s="73"/>
      <c r="H65" s="73"/>
      <c r="I65" s="73"/>
      <c r="J65" s="73"/>
      <c r="K65" s="73"/>
      <c r="L65" s="73"/>
      <c r="M65" s="73"/>
      <c r="N65" s="73"/>
      <c r="O65" s="73"/>
      <c r="P65" s="73"/>
      <c r="Q65" s="73"/>
      <c r="R65" s="73"/>
      <c r="S65" s="73"/>
      <c r="T65" s="73"/>
      <c r="U65" s="73"/>
      <c r="V65" s="73"/>
      <c r="W65" s="73"/>
      <c r="X65" s="73"/>
      <c r="Y65" s="73"/>
      <c r="Z65" s="73"/>
      <c r="AA65" s="73"/>
      <c r="AB65" s="73"/>
      <c r="AC65" s="73"/>
      <c r="AD65" s="73"/>
      <c r="AE65" s="73"/>
      <c r="AF65" s="73"/>
      <c r="AG65" s="73"/>
      <c r="AH65" s="73"/>
      <c r="AI65" s="73"/>
      <c r="AJ65" s="73"/>
      <c r="AK65" s="73"/>
      <c r="AL65" s="73"/>
      <c r="AM65" s="73"/>
      <c r="AN65" s="73"/>
      <c r="AO65" s="73"/>
      <c r="AP65" s="73"/>
      <c r="AQ65" s="73"/>
      <c r="AR65" s="73"/>
      <c r="AS65" s="73"/>
      <c r="AT65" s="73"/>
      <c r="AU65" s="73"/>
      <c r="AV65" s="73"/>
      <c r="AW65" s="73"/>
      <c r="AX65" s="73"/>
      <c r="AY65" s="73"/>
      <c r="AZ65" s="73"/>
      <c r="BA65" s="73"/>
      <c r="BB65" s="73"/>
      <c r="BC65" s="73"/>
      <c r="BD65" s="73"/>
      <c r="BE65" s="73"/>
      <c r="BF65" s="73"/>
      <c r="BG65" s="73"/>
      <c r="BH65" s="73"/>
      <c r="BI65" s="73"/>
      <c r="BJ65" s="73"/>
      <c r="BK65" s="73"/>
      <c r="BL65" s="73"/>
      <c r="BM65" s="73"/>
      <c r="BN65" s="73"/>
      <c r="BO65" s="73"/>
      <c r="BP65" s="73"/>
      <c r="BQ65" s="73"/>
      <c r="BR65" s="73"/>
    </row>
    <row r="66" spans="1:70">
      <c r="A66" s="73"/>
      <c r="B66" s="73"/>
      <c r="C66" s="73"/>
      <c r="D66" s="73"/>
      <c r="E66" s="73"/>
      <c r="F66" s="73"/>
      <c r="G66" s="73"/>
      <c r="H66" s="73"/>
      <c r="I66" s="73"/>
      <c r="J66" s="73"/>
      <c r="K66" s="73"/>
      <c r="L66" s="73"/>
      <c r="M66" s="73"/>
      <c r="N66" s="73"/>
      <c r="O66" s="73"/>
      <c r="P66" s="73"/>
      <c r="Q66" s="73"/>
      <c r="R66" s="73"/>
      <c r="S66" s="73"/>
      <c r="T66" s="73"/>
      <c r="U66" s="73"/>
      <c r="V66" s="73"/>
      <c r="W66" s="73"/>
      <c r="X66" s="73"/>
      <c r="Y66" s="73"/>
      <c r="Z66" s="73"/>
      <c r="AA66" s="73"/>
      <c r="AB66" s="73"/>
      <c r="AC66" s="73"/>
      <c r="AD66" s="73"/>
      <c r="AE66" s="73"/>
      <c r="AF66" s="73"/>
      <c r="AG66" s="73"/>
      <c r="AH66" s="73"/>
      <c r="AI66" s="73"/>
      <c r="AJ66" s="73"/>
      <c r="AK66" s="73"/>
      <c r="AL66" s="73"/>
      <c r="AM66" s="73"/>
      <c r="AN66" s="73"/>
      <c r="AO66" s="73"/>
      <c r="AP66" s="73"/>
      <c r="AQ66" s="73"/>
      <c r="AR66" s="73"/>
      <c r="AS66" s="73"/>
      <c r="AT66" s="73"/>
      <c r="AU66" s="73"/>
      <c r="AV66" s="73"/>
      <c r="AW66" s="73"/>
      <c r="AX66" s="73"/>
      <c r="AY66" s="73"/>
      <c r="AZ66" s="73"/>
      <c r="BA66" s="73"/>
      <c r="BB66" s="73"/>
      <c r="BC66" s="73"/>
      <c r="BD66" s="73"/>
      <c r="BE66" s="73"/>
      <c r="BF66" s="73"/>
      <c r="BG66" s="73"/>
      <c r="BH66" s="73"/>
      <c r="BI66" s="73"/>
      <c r="BJ66" s="73"/>
      <c r="BK66" s="73"/>
      <c r="BL66" s="73"/>
      <c r="BM66" s="73"/>
      <c r="BN66" s="73"/>
      <c r="BO66" s="73"/>
      <c r="BP66" s="73"/>
      <c r="BQ66" s="73"/>
      <c r="BR66" s="73"/>
    </row>
    <row r="67" spans="1:70">
      <c r="A67" s="73"/>
      <c r="B67" s="73"/>
      <c r="C67" s="73"/>
      <c r="D67" s="73"/>
      <c r="E67" s="73"/>
      <c r="F67" s="73"/>
      <c r="G67" s="73"/>
      <c r="H67" s="73"/>
      <c r="I67" s="73"/>
      <c r="J67" s="73"/>
      <c r="K67" s="73"/>
      <c r="L67" s="73"/>
      <c r="M67" s="73"/>
      <c r="N67" s="73"/>
      <c r="O67" s="73"/>
      <c r="P67" s="73"/>
      <c r="Q67" s="73"/>
      <c r="R67" s="73"/>
      <c r="S67" s="73"/>
      <c r="T67" s="73"/>
      <c r="U67" s="73"/>
      <c r="V67" s="73"/>
      <c r="W67" s="73"/>
      <c r="X67" s="73"/>
      <c r="Y67" s="73"/>
      <c r="Z67" s="73"/>
      <c r="AA67" s="73"/>
      <c r="AB67" s="73"/>
      <c r="AC67" s="73"/>
      <c r="AD67" s="73"/>
      <c r="AE67" s="73"/>
      <c r="AF67" s="73"/>
      <c r="AG67" s="73"/>
      <c r="AH67" s="73"/>
      <c r="AI67" s="73"/>
      <c r="AJ67" s="73"/>
      <c r="AK67" s="73"/>
      <c r="AL67" s="73"/>
      <c r="AM67" s="73"/>
      <c r="AN67" s="73"/>
      <c r="AO67" s="73"/>
      <c r="AP67" s="73"/>
      <c r="AQ67" s="73"/>
      <c r="AR67" s="73"/>
      <c r="AS67" s="73"/>
      <c r="AT67" s="73"/>
      <c r="AU67" s="73"/>
      <c r="AV67" s="73"/>
      <c r="AW67" s="73"/>
      <c r="AX67" s="73"/>
      <c r="AY67" s="73"/>
      <c r="AZ67" s="73"/>
      <c r="BA67" s="73"/>
      <c r="BB67" s="73"/>
      <c r="BC67" s="73"/>
      <c r="BD67" s="73"/>
      <c r="BE67" s="73"/>
      <c r="BF67" s="73"/>
      <c r="BG67" s="73"/>
      <c r="BH67" s="73"/>
      <c r="BI67" s="73"/>
      <c r="BJ67" s="73"/>
      <c r="BK67" s="73"/>
      <c r="BL67" s="73"/>
      <c r="BM67" s="73"/>
      <c r="BN67" s="73"/>
      <c r="BO67" s="73"/>
      <c r="BP67" s="73"/>
      <c r="BQ67" s="73"/>
      <c r="BR67" s="73"/>
    </row>
    <row r="68" spans="1:70">
      <c r="A68" s="73"/>
      <c r="B68" s="73"/>
      <c r="C68" s="73"/>
      <c r="D68" s="73"/>
      <c r="E68" s="73"/>
      <c r="F68" s="73"/>
      <c r="G68" s="73"/>
      <c r="H68" s="73"/>
      <c r="I68" s="73"/>
      <c r="J68" s="73"/>
      <c r="K68" s="73"/>
      <c r="L68" s="73"/>
      <c r="M68" s="73"/>
      <c r="N68" s="73"/>
      <c r="O68" s="73"/>
      <c r="P68" s="73"/>
      <c r="Q68" s="73"/>
      <c r="R68" s="73"/>
      <c r="S68" s="73"/>
      <c r="T68" s="73"/>
      <c r="U68" s="73"/>
      <c r="V68" s="73"/>
      <c r="W68" s="73"/>
      <c r="X68" s="73"/>
      <c r="Y68" s="73"/>
      <c r="Z68" s="73"/>
      <c r="AA68" s="73"/>
      <c r="AB68" s="73"/>
      <c r="AC68" s="73"/>
      <c r="AD68" s="73"/>
      <c r="AE68" s="73"/>
      <c r="AF68" s="73"/>
      <c r="AG68" s="73"/>
      <c r="AH68" s="73"/>
      <c r="AI68" s="73"/>
      <c r="AJ68" s="73"/>
      <c r="AK68" s="73"/>
      <c r="AL68" s="73"/>
      <c r="AM68" s="73"/>
      <c r="AN68" s="73"/>
      <c r="AO68" s="73"/>
      <c r="AP68" s="73"/>
      <c r="AQ68" s="73"/>
      <c r="AR68" s="73"/>
      <c r="AS68" s="73"/>
      <c r="AT68" s="73"/>
      <c r="AU68" s="73"/>
      <c r="AV68" s="73"/>
      <c r="AW68" s="73"/>
      <c r="AX68" s="73"/>
      <c r="AY68" s="73"/>
      <c r="AZ68" s="73"/>
      <c r="BA68" s="73"/>
      <c r="BB68" s="73"/>
      <c r="BC68" s="73"/>
      <c r="BD68" s="73"/>
      <c r="BE68" s="73"/>
      <c r="BF68" s="73"/>
      <c r="BG68" s="73"/>
      <c r="BH68" s="73"/>
      <c r="BI68" s="73"/>
      <c r="BJ68" s="73"/>
      <c r="BK68" s="73"/>
      <c r="BL68" s="73"/>
      <c r="BM68" s="73"/>
      <c r="BN68" s="73"/>
      <c r="BO68" s="73"/>
      <c r="BP68" s="73"/>
      <c r="BQ68" s="73"/>
      <c r="BR68" s="73"/>
    </row>
    <row r="71" spans="1:70">
      <c r="C71" s="227"/>
      <c r="D71" s="227"/>
      <c r="E71" s="227"/>
      <c r="F71" s="227"/>
      <c r="G71" s="227"/>
      <c r="H71" s="227"/>
      <c r="I71" s="227"/>
      <c r="J71" s="227"/>
      <c r="K71" s="227"/>
      <c r="L71" s="227"/>
      <c r="M71" s="227"/>
      <c r="N71" s="227"/>
      <c r="O71" s="227"/>
      <c r="P71" s="227"/>
      <c r="Q71" s="227"/>
      <c r="R71" s="227"/>
      <c r="S71" s="227"/>
      <c r="T71" s="227"/>
      <c r="U71" s="227"/>
      <c r="V71" s="227"/>
      <c r="W71" s="227"/>
      <c r="X71" s="227"/>
      <c r="Y71" s="227"/>
      <c r="Z71" s="227"/>
      <c r="AA71" s="227"/>
      <c r="AB71" s="227"/>
      <c r="AC71" s="227"/>
      <c r="AD71" s="227"/>
      <c r="AE71" s="227"/>
      <c r="AF71" s="227"/>
      <c r="AG71" s="227"/>
      <c r="AH71" s="227"/>
      <c r="AI71" s="227"/>
      <c r="AJ71" s="227"/>
      <c r="AK71" s="227"/>
      <c r="AL71" s="227"/>
      <c r="AM71" s="227"/>
      <c r="AN71" s="227"/>
      <c r="AO71" s="227"/>
      <c r="AP71" s="227"/>
      <c r="AQ71" s="227"/>
      <c r="AR71" s="227"/>
      <c r="AS71" s="227"/>
      <c r="AT71" s="227"/>
      <c r="AU71" s="227"/>
      <c r="AV71" s="227"/>
      <c r="AW71" s="227"/>
      <c r="AX71" s="227"/>
      <c r="AY71" s="227"/>
      <c r="AZ71" s="227"/>
      <c r="BA71" s="227"/>
      <c r="BB71" s="227"/>
      <c r="BC71" s="227"/>
      <c r="BD71" s="227"/>
      <c r="BE71" s="227"/>
      <c r="BF71" s="227"/>
    </row>
    <row r="72" spans="1:70">
      <c r="C72" s="227"/>
      <c r="D72" s="227"/>
      <c r="E72" s="227"/>
      <c r="F72" s="227"/>
      <c r="G72" s="227"/>
      <c r="H72" s="227"/>
      <c r="I72" s="227"/>
      <c r="J72" s="227"/>
      <c r="K72" s="227"/>
      <c r="L72" s="227"/>
      <c r="M72" s="227"/>
      <c r="N72" s="227"/>
      <c r="O72" s="227"/>
      <c r="P72" s="227"/>
      <c r="Q72" s="227"/>
      <c r="R72" s="227"/>
      <c r="S72" s="227"/>
      <c r="T72" s="227"/>
      <c r="U72" s="227"/>
      <c r="V72" s="227"/>
      <c r="W72" s="227"/>
      <c r="X72" s="227"/>
      <c r="Y72" s="227"/>
      <c r="Z72" s="227"/>
      <c r="AA72" s="227"/>
      <c r="AB72" s="227"/>
      <c r="AC72" s="227"/>
      <c r="AD72" s="227"/>
      <c r="AE72" s="227"/>
      <c r="AF72" s="227"/>
      <c r="AG72" s="227"/>
      <c r="AH72" s="227"/>
      <c r="AI72" s="227"/>
      <c r="AJ72" s="227"/>
      <c r="AK72" s="227"/>
      <c r="AL72" s="227"/>
      <c r="AM72" s="227"/>
      <c r="AN72" s="227"/>
      <c r="AO72" s="227"/>
      <c r="AP72" s="227"/>
      <c r="AQ72" s="227"/>
      <c r="AR72" s="227"/>
      <c r="AS72" s="227"/>
      <c r="AT72" s="227"/>
      <c r="AU72" s="227"/>
      <c r="AV72" s="227"/>
      <c r="AW72" s="227"/>
      <c r="AX72" s="227"/>
      <c r="AY72" s="227"/>
      <c r="AZ72" s="227"/>
      <c r="BA72" s="227"/>
      <c r="BB72" s="227"/>
      <c r="BC72" s="227"/>
      <c r="BD72" s="227"/>
      <c r="BE72" s="227"/>
      <c r="BF72" s="227"/>
    </row>
    <row r="73" spans="1:70">
      <c r="C73" s="227"/>
      <c r="D73" s="227"/>
      <c r="E73" s="227"/>
      <c r="F73" s="227"/>
      <c r="G73" s="227"/>
      <c r="H73" s="227"/>
      <c r="I73" s="227"/>
      <c r="J73" s="227"/>
      <c r="K73" s="227"/>
      <c r="L73" s="227"/>
      <c r="M73" s="227"/>
      <c r="N73" s="227"/>
      <c r="O73" s="227"/>
      <c r="P73" s="227"/>
      <c r="Q73" s="227"/>
      <c r="R73" s="227"/>
      <c r="S73" s="227"/>
      <c r="T73" s="227"/>
      <c r="U73" s="227"/>
      <c r="V73" s="227"/>
      <c r="W73" s="227"/>
      <c r="X73" s="227"/>
      <c r="Y73" s="227"/>
      <c r="Z73" s="227"/>
      <c r="AA73" s="227"/>
      <c r="AB73" s="227"/>
      <c r="AC73" s="227"/>
      <c r="AD73" s="227"/>
      <c r="AE73" s="227"/>
      <c r="AF73" s="227"/>
      <c r="AG73" s="227"/>
      <c r="AH73" s="227"/>
      <c r="AI73" s="227"/>
      <c r="AJ73" s="227"/>
      <c r="AK73" s="227"/>
      <c r="AL73" s="227"/>
      <c r="AM73" s="227"/>
      <c r="AN73" s="227"/>
      <c r="AO73" s="227"/>
      <c r="AP73" s="227"/>
      <c r="AQ73" s="227"/>
      <c r="AR73" s="227"/>
      <c r="AS73" s="227"/>
      <c r="AT73" s="227"/>
      <c r="AU73" s="227"/>
      <c r="AV73" s="227"/>
      <c r="AW73" s="227"/>
      <c r="AX73" s="227"/>
      <c r="AY73" s="227"/>
      <c r="AZ73" s="227"/>
      <c r="BA73" s="227"/>
      <c r="BB73" s="227"/>
      <c r="BC73" s="227"/>
      <c r="BD73" s="227"/>
      <c r="BE73" s="227"/>
    </row>
    <row r="75" spans="1:70">
      <c r="C75" s="228"/>
      <c r="D75" s="228"/>
      <c r="E75" s="228"/>
      <c r="F75" s="228"/>
      <c r="G75" s="228"/>
      <c r="H75" s="228"/>
      <c r="I75" s="228"/>
      <c r="J75" s="228"/>
      <c r="K75" s="228"/>
      <c r="L75" s="228"/>
      <c r="M75" s="228"/>
      <c r="N75" s="228"/>
      <c r="O75" s="228"/>
      <c r="P75" s="228"/>
      <c r="Q75" s="228"/>
      <c r="R75" s="228"/>
      <c r="S75" s="228"/>
      <c r="T75" s="228"/>
      <c r="U75" s="228"/>
      <c r="V75" s="228"/>
      <c r="W75" s="228"/>
      <c r="X75" s="228"/>
      <c r="Y75" s="228"/>
      <c r="Z75" s="228"/>
      <c r="AA75" s="228"/>
      <c r="AB75" s="228"/>
      <c r="AC75" s="228"/>
      <c r="AD75" s="228"/>
      <c r="AE75" s="228"/>
      <c r="AF75" s="228"/>
      <c r="AG75" s="228"/>
      <c r="AH75" s="228"/>
      <c r="AI75" s="228"/>
      <c r="AJ75" s="228"/>
      <c r="AK75" s="228"/>
      <c r="AL75" s="228"/>
      <c r="AM75" s="228"/>
      <c r="AN75" s="228"/>
      <c r="AO75" s="228"/>
      <c r="AP75" s="228"/>
      <c r="AQ75" s="228"/>
      <c r="AR75" s="228"/>
      <c r="AS75" s="228"/>
      <c r="AT75" s="228"/>
      <c r="AU75" s="228"/>
      <c r="AV75" s="228"/>
      <c r="AW75" s="228"/>
      <c r="AX75" s="228"/>
      <c r="AY75" s="228"/>
      <c r="AZ75" s="228"/>
      <c r="BA75" s="228"/>
      <c r="BB75" s="228"/>
      <c r="BC75" s="228"/>
      <c r="BD75" s="228"/>
    </row>
    <row r="76" spans="1:70">
      <c r="C76" s="228"/>
      <c r="D76" s="228"/>
      <c r="E76" s="228"/>
      <c r="F76" s="228"/>
      <c r="G76" s="228"/>
      <c r="H76" s="228"/>
      <c r="I76" s="228"/>
      <c r="J76" s="228"/>
      <c r="K76" s="228"/>
      <c r="L76" s="228"/>
      <c r="M76" s="228"/>
      <c r="N76" s="228"/>
      <c r="O76" s="228"/>
      <c r="P76" s="228"/>
      <c r="Q76" s="228"/>
      <c r="R76" s="228"/>
      <c r="S76" s="228"/>
      <c r="T76" s="228"/>
      <c r="U76" s="228"/>
      <c r="V76" s="228"/>
      <c r="W76" s="228"/>
      <c r="X76" s="228"/>
      <c r="Y76" s="228"/>
      <c r="Z76" s="228"/>
      <c r="AA76" s="228"/>
      <c r="AB76" s="228"/>
      <c r="AC76" s="228"/>
      <c r="AD76" s="228"/>
      <c r="AE76" s="228"/>
      <c r="AF76" s="228"/>
      <c r="AG76" s="228"/>
      <c r="AH76" s="228"/>
      <c r="AI76" s="228"/>
      <c r="AJ76" s="228"/>
      <c r="AK76" s="228"/>
      <c r="AL76" s="228"/>
      <c r="AM76" s="228"/>
      <c r="AN76" s="228"/>
      <c r="AO76" s="228"/>
      <c r="AP76" s="228"/>
      <c r="AQ76" s="228"/>
      <c r="AR76" s="228"/>
      <c r="AS76" s="228"/>
      <c r="AT76" s="228"/>
      <c r="AU76" s="228"/>
      <c r="AV76" s="228"/>
      <c r="AW76" s="228"/>
      <c r="AX76" s="228"/>
      <c r="AY76" s="228"/>
      <c r="AZ76" s="228"/>
      <c r="BA76" s="228"/>
      <c r="BB76" s="228"/>
      <c r="BC76" s="228"/>
      <c r="BD76" s="228"/>
    </row>
    <row r="77" spans="1:70">
      <c r="C77" s="228"/>
      <c r="D77" s="228"/>
      <c r="E77" s="228"/>
      <c r="F77" s="228"/>
      <c r="G77" s="228"/>
      <c r="H77" s="228"/>
      <c r="I77" s="228"/>
      <c r="J77" s="228"/>
      <c r="K77" s="228"/>
      <c r="L77" s="228"/>
      <c r="M77" s="228"/>
      <c r="N77" s="228"/>
      <c r="O77" s="228"/>
      <c r="P77" s="228"/>
      <c r="Q77" s="228"/>
      <c r="R77" s="228"/>
      <c r="S77" s="228"/>
      <c r="T77" s="228"/>
      <c r="U77" s="228"/>
      <c r="V77" s="228"/>
      <c r="W77" s="228"/>
      <c r="X77" s="228"/>
      <c r="Y77" s="228"/>
      <c r="Z77" s="228"/>
      <c r="AA77" s="228"/>
      <c r="AB77" s="228"/>
      <c r="AC77" s="228"/>
      <c r="AD77" s="228"/>
      <c r="AE77" s="228"/>
      <c r="AF77" s="228"/>
      <c r="AG77" s="228"/>
      <c r="AH77" s="228"/>
      <c r="AI77" s="228"/>
      <c r="AJ77" s="228"/>
      <c r="AK77" s="228"/>
      <c r="AL77" s="228"/>
      <c r="AM77" s="228"/>
      <c r="AN77" s="228"/>
      <c r="AO77" s="228"/>
      <c r="AP77" s="228"/>
      <c r="AQ77" s="228"/>
      <c r="AR77" s="228"/>
      <c r="AS77" s="228"/>
      <c r="AT77" s="228"/>
      <c r="AU77" s="228"/>
      <c r="AV77" s="228"/>
      <c r="AW77" s="228"/>
      <c r="AX77" s="228"/>
      <c r="AY77" s="228"/>
      <c r="AZ77" s="228"/>
      <c r="BA77" s="228"/>
      <c r="BB77" s="228"/>
      <c r="BC77" s="228"/>
      <c r="BD77" s="228"/>
    </row>
  </sheetData>
  <mergeCells count="6">
    <mergeCell ref="A5:G5"/>
    <mergeCell ref="A65:C65"/>
    <mergeCell ref="D65:F65"/>
    <mergeCell ref="A62:B62"/>
    <mergeCell ref="A61:B61"/>
    <mergeCell ref="A60:B60"/>
  </mergeCells>
  <hyperlinks>
    <hyperlink ref="A65" location="Contents!A1" display="Back to Table of Contents" xr:uid="{0C1FB2DB-462F-4BBE-85DC-7C2BD866B12F}"/>
    <hyperlink ref="A2" r:id="rId1" xr:uid="{502AF8FE-C98A-EE47-AC79-0F6AB7F9BA91}"/>
  </hyperlinks>
  <pageMargins left="0.7" right="0.7" top="0.75" bottom="0.75" header="0.3" footer="0.3"/>
  <pageSetup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BA931-F6A7-47E1-A6E6-0EE993ECA296}">
  <sheetPr codeName="Sheet8"/>
  <dimension ref="A1:CC64"/>
  <sheetViews>
    <sheetView zoomScaleNormal="100" workbookViewId="0">
      <pane xSplit="2" ySplit="8" topLeftCell="C9" activePane="bottomRight" state="frozen"/>
      <selection pane="topRight" activeCell="AW55" sqref="AW55"/>
      <selection pane="bottomLeft" activeCell="AW55" sqref="AW55"/>
      <selection pane="bottomRight" activeCell="C9" sqref="C9"/>
    </sheetView>
  </sheetViews>
  <sheetFormatPr baseColWidth="10" defaultColWidth="8.5" defaultRowHeight="14"/>
  <cols>
    <col min="1" max="1" width="23.5" style="1" customWidth="1"/>
    <col min="2" max="2" width="125" style="1" customWidth="1"/>
    <col min="3" max="3" width="14.5" style="1" customWidth="1"/>
    <col min="4" max="66" width="8.5" style="1"/>
    <col min="67" max="67" width="8.5" style="1" customWidth="1"/>
    <col min="68" max="69" width="13.5" style="1" bestFit="1" customWidth="1"/>
    <col min="70" max="16384" width="8.5" style="1"/>
  </cols>
  <sheetData>
    <row r="1" spans="1:81">
      <c r="A1" s="55" t="s">
        <v>307</v>
      </c>
      <c r="B1" s="73"/>
      <c r="C1" s="73"/>
      <c r="D1" s="73"/>
      <c r="E1" s="73"/>
      <c r="F1" s="73"/>
      <c r="G1" s="73"/>
      <c r="H1" s="73"/>
      <c r="I1" s="73"/>
      <c r="J1" s="73"/>
      <c r="K1" s="73"/>
      <c r="L1" s="73"/>
      <c r="M1" s="73"/>
      <c r="N1" s="73"/>
      <c r="O1" s="73"/>
      <c r="P1" s="73"/>
      <c r="Q1" s="73"/>
      <c r="R1" s="73"/>
      <c r="S1" s="73"/>
      <c r="T1" s="73"/>
      <c r="U1" s="73"/>
      <c r="V1" s="73"/>
      <c r="W1" s="73"/>
      <c r="X1" s="73"/>
      <c r="Y1" s="73"/>
      <c r="Z1" s="73"/>
      <c r="AA1" s="73"/>
      <c r="AB1" s="73"/>
      <c r="AC1" s="73"/>
      <c r="AD1" s="73"/>
      <c r="AE1" s="73"/>
      <c r="AF1" s="73"/>
      <c r="AG1" s="73"/>
      <c r="AH1" s="73"/>
      <c r="AI1" s="73"/>
      <c r="AJ1" s="73"/>
      <c r="AK1" s="73"/>
      <c r="AL1" s="73"/>
      <c r="AM1" s="73"/>
      <c r="AN1" s="73"/>
      <c r="AO1" s="73"/>
      <c r="AP1" s="73"/>
      <c r="AQ1" s="73"/>
      <c r="AR1" s="73"/>
      <c r="AS1" s="73"/>
      <c r="AT1" s="73"/>
      <c r="AU1" s="73"/>
      <c r="AV1" s="73"/>
      <c r="AW1" s="73"/>
      <c r="AX1" s="73"/>
      <c r="AY1" s="73"/>
      <c r="AZ1" s="73"/>
      <c r="BA1" s="73"/>
      <c r="BB1" s="73"/>
      <c r="BC1" s="73"/>
      <c r="BD1" s="73"/>
      <c r="BE1" s="73"/>
      <c r="BF1" s="73"/>
      <c r="BG1" s="73"/>
      <c r="BH1" s="73"/>
      <c r="BI1" s="73"/>
      <c r="BJ1" s="73"/>
      <c r="BK1" s="73"/>
      <c r="BL1" s="73"/>
      <c r="BM1" s="73"/>
      <c r="BN1" s="73"/>
      <c r="BO1" s="73"/>
      <c r="BP1" s="73"/>
      <c r="BQ1" s="73"/>
    </row>
    <row r="2" spans="1:81">
      <c r="A2" s="233" t="s">
        <v>308</v>
      </c>
      <c r="B2" s="73"/>
      <c r="C2" s="73"/>
      <c r="D2" s="73"/>
      <c r="E2" s="73"/>
      <c r="F2" s="73"/>
      <c r="G2" s="73"/>
      <c r="H2" s="73"/>
      <c r="I2" s="73"/>
      <c r="J2" s="73"/>
      <c r="K2" s="73"/>
      <c r="L2" s="73"/>
      <c r="M2" s="73"/>
      <c r="N2" s="73"/>
      <c r="O2" s="73"/>
      <c r="P2" s="73"/>
      <c r="Q2" s="73"/>
      <c r="R2" s="73"/>
      <c r="S2" s="73"/>
      <c r="T2" s="73"/>
      <c r="U2" s="73"/>
      <c r="V2" s="73"/>
      <c r="W2" s="73"/>
      <c r="X2" s="73"/>
      <c r="Y2" s="73"/>
      <c r="Z2" s="73"/>
      <c r="AA2" s="73"/>
      <c r="AB2" s="73"/>
      <c r="AC2" s="73"/>
      <c r="AD2" s="73"/>
      <c r="AE2" s="73"/>
      <c r="AF2" s="73"/>
      <c r="AG2" s="73"/>
      <c r="AH2" s="73"/>
      <c r="AI2" s="73"/>
      <c r="AJ2" s="73"/>
      <c r="AK2" s="73"/>
      <c r="AL2" s="73"/>
      <c r="AM2" s="73"/>
      <c r="AN2" s="73"/>
      <c r="AO2" s="73"/>
      <c r="AP2" s="73"/>
      <c r="AQ2" s="73"/>
      <c r="AR2" s="73"/>
      <c r="AS2" s="73"/>
      <c r="AT2" s="73"/>
      <c r="AU2" s="73"/>
      <c r="AV2" s="73"/>
      <c r="AW2" s="73"/>
      <c r="AX2" s="73"/>
      <c r="AY2" s="73"/>
      <c r="AZ2" s="73"/>
      <c r="BA2" s="73"/>
      <c r="BB2" s="73"/>
      <c r="BC2" s="73"/>
      <c r="BD2" s="73"/>
      <c r="BE2" s="73"/>
      <c r="BF2" s="73"/>
      <c r="BG2" s="73"/>
      <c r="BH2" s="73"/>
      <c r="BI2" s="73"/>
      <c r="BJ2" s="73"/>
      <c r="BK2" s="73"/>
      <c r="BL2" s="73"/>
      <c r="BM2" s="73"/>
      <c r="BN2" s="73"/>
      <c r="BO2" s="73"/>
      <c r="BP2" s="73"/>
      <c r="BQ2" s="73"/>
    </row>
    <row r="3" spans="1:81">
      <c r="A3" s="73"/>
      <c r="B3" s="73"/>
      <c r="C3" s="73"/>
      <c r="D3" s="73"/>
      <c r="E3" s="73"/>
      <c r="F3" s="73"/>
      <c r="G3" s="73"/>
      <c r="H3" s="73"/>
      <c r="I3" s="73"/>
      <c r="J3" s="73"/>
      <c r="K3" s="73"/>
      <c r="L3" s="73"/>
      <c r="M3" s="73"/>
      <c r="N3" s="73"/>
      <c r="O3" s="73"/>
      <c r="P3" s="73"/>
      <c r="Q3" s="73"/>
      <c r="R3" s="73"/>
      <c r="S3" s="73"/>
      <c r="T3" s="73"/>
      <c r="U3" s="73"/>
      <c r="V3" s="73"/>
      <c r="W3" s="73"/>
      <c r="X3" s="73"/>
      <c r="Y3" s="73"/>
      <c r="Z3" s="73"/>
      <c r="AA3" s="73"/>
      <c r="AB3" s="73"/>
      <c r="AC3" s="73"/>
      <c r="AD3" s="73"/>
      <c r="AE3" s="73"/>
      <c r="AF3" s="73"/>
      <c r="AG3" s="73"/>
      <c r="AH3" s="73"/>
      <c r="AI3" s="73"/>
      <c r="AJ3" s="73"/>
      <c r="AK3" s="73"/>
      <c r="AL3" s="73"/>
      <c r="AM3" s="73"/>
      <c r="AN3" s="73"/>
      <c r="AO3" s="73"/>
      <c r="AP3" s="73"/>
      <c r="AQ3" s="73"/>
      <c r="AR3" s="73"/>
      <c r="AS3" s="73"/>
      <c r="AT3" s="73"/>
      <c r="AU3" s="73"/>
      <c r="AV3" s="73"/>
      <c r="AW3" s="73"/>
      <c r="AX3" s="73"/>
      <c r="AY3" s="73"/>
      <c r="AZ3" s="73"/>
      <c r="BA3" s="73"/>
      <c r="BB3" s="73"/>
      <c r="BC3" s="73"/>
      <c r="BD3" s="73"/>
      <c r="BE3" s="73"/>
      <c r="BF3" s="73"/>
      <c r="BG3" s="73"/>
      <c r="BH3" s="73"/>
      <c r="BI3" s="73"/>
      <c r="BJ3" s="73"/>
      <c r="BK3" s="73"/>
      <c r="BL3" s="73"/>
      <c r="BM3" s="73"/>
      <c r="BN3" s="73"/>
      <c r="BO3" s="73"/>
      <c r="BP3" s="73"/>
      <c r="BQ3" s="73"/>
    </row>
    <row r="4" spans="1:81">
      <c r="A4" s="73"/>
      <c r="B4" s="73"/>
      <c r="C4" s="73"/>
      <c r="D4" s="73"/>
      <c r="E4" s="73"/>
      <c r="F4" s="73"/>
      <c r="G4" s="73"/>
      <c r="H4" s="73"/>
      <c r="I4" s="73"/>
      <c r="J4" s="73"/>
      <c r="K4" s="73"/>
      <c r="L4" s="73"/>
      <c r="M4" s="73"/>
      <c r="N4" s="73"/>
      <c r="O4" s="73"/>
      <c r="P4" s="73"/>
      <c r="Q4" s="73"/>
      <c r="R4" s="73"/>
      <c r="S4" s="73"/>
      <c r="T4" s="73"/>
      <c r="U4" s="73"/>
      <c r="V4" s="73"/>
      <c r="W4" s="73"/>
      <c r="X4" s="73"/>
      <c r="Y4" s="73"/>
      <c r="Z4" s="73"/>
      <c r="AA4" s="73"/>
      <c r="AB4" s="73"/>
      <c r="AC4" s="73"/>
      <c r="AD4" s="73"/>
      <c r="AE4" s="73"/>
      <c r="AF4" s="73"/>
      <c r="AG4" s="73"/>
      <c r="AH4" s="73"/>
      <c r="AI4" s="73"/>
      <c r="AJ4" s="73"/>
      <c r="AK4" s="73"/>
      <c r="AL4" s="73"/>
      <c r="AM4" s="73"/>
      <c r="AN4" s="73"/>
      <c r="AO4" s="73"/>
      <c r="AP4" s="73"/>
      <c r="AQ4" s="73"/>
      <c r="AR4" s="73"/>
      <c r="AS4" s="73"/>
      <c r="AT4" s="73"/>
      <c r="AU4" s="73"/>
      <c r="AV4" s="73"/>
      <c r="AW4" s="73"/>
      <c r="AX4" s="73"/>
      <c r="AY4" s="73"/>
      <c r="AZ4" s="73"/>
      <c r="BA4" s="73"/>
      <c r="BB4" s="73"/>
      <c r="BC4" s="73"/>
      <c r="BD4" s="73"/>
      <c r="BE4" s="73"/>
      <c r="BF4" s="73"/>
      <c r="BG4" s="73"/>
      <c r="BH4" s="73"/>
      <c r="BI4" s="73"/>
      <c r="BJ4" s="73"/>
      <c r="BK4" s="73"/>
      <c r="BL4" s="73"/>
      <c r="BM4" s="73"/>
      <c r="BN4" s="73"/>
      <c r="BO4" s="73"/>
      <c r="BP4" s="73"/>
      <c r="BQ4" s="73"/>
    </row>
    <row r="5" spans="1:81">
      <c r="A5" s="178" t="s">
        <v>263</v>
      </c>
      <c r="B5" s="73"/>
      <c r="C5" s="73"/>
      <c r="D5" s="73"/>
      <c r="E5" s="73"/>
      <c r="F5" s="73"/>
      <c r="G5" s="73"/>
      <c r="H5" s="73"/>
      <c r="I5" s="73"/>
      <c r="J5" s="73"/>
      <c r="K5" s="73"/>
      <c r="L5" s="73"/>
      <c r="M5" s="73"/>
      <c r="N5" s="73"/>
      <c r="O5" s="73"/>
      <c r="P5" s="73"/>
      <c r="Q5" s="73"/>
      <c r="R5" s="73"/>
      <c r="S5" s="73"/>
      <c r="T5" s="73"/>
      <c r="U5" s="73"/>
      <c r="V5" s="73"/>
      <c r="W5" s="73"/>
      <c r="X5" s="73"/>
      <c r="Y5" s="73"/>
      <c r="Z5" s="73"/>
      <c r="AA5" s="73"/>
      <c r="AB5" s="73"/>
      <c r="AC5" s="73"/>
      <c r="AD5" s="73"/>
      <c r="AE5" s="73"/>
      <c r="AF5" s="73"/>
      <c r="AG5" s="73"/>
      <c r="AH5" s="73"/>
      <c r="AI5" s="73"/>
      <c r="AJ5" s="73"/>
      <c r="AK5" s="73"/>
      <c r="AL5" s="73"/>
      <c r="AM5" s="73"/>
      <c r="AN5" s="73"/>
      <c r="AO5" s="78"/>
      <c r="AP5" s="78"/>
      <c r="AQ5" s="78"/>
      <c r="AR5" s="78"/>
      <c r="AS5" s="78"/>
      <c r="AT5" s="78"/>
      <c r="AU5" s="78"/>
      <c r="AV5" s="78"/>
      <c r="AW5" s="78"/>
      <c r="AX5" s="78"/>
      <c r="AY5" s="78"/>
      <c r="AZ5" s="78"/>
      <c r="BA5" s="78"/>
      <c r="BB5" s="78"/>
      <c r="BC5" s="73"/>
      <c r="BD5" s="73"/>
      <c r="BE5" s="73"/>
      <c r="BF5" s="73"/>
      <c r="BG5" s="73"/>
      <c r="BH5" s="73"/>
      <c r="BI5" s="73"/>
      <c r="BJ5" s="73"/>
      <c r="BK5" s="73"/>
      <c r="BL5" s="73"/>
      <c r="BM5" s="73"/>
      <c r="BN5" s="73"/>
      <c r="BO5" s="73"/>
      <c r="BP5" s="73"/>
      <c r="BQ5" s="73"/>
    </row>
    <row r="6" spans="1:81">
      <c r="A6" s="179" t="s">
        <v>143</v>
      </c>
      <c r="B6" s="70"/>
      <c r="C6" s="70"/>
      <c r="D6" s="70"/>
      <c r="E6" s="70"/>
      <c r="F6" s="70"/>
      <c r="G6" s="70"/>
      <c r="H6" s="70"/>
      <c r="I6" s="70"/>
      <c r="J6" s="70"/>
      <c r="K6" s="70"/>
      <c r="L6" s="70"/>
      <c r="M6" s="70"/>
      <c r="N6" s="70"/>
      <c r="O6" s="70"/>
      <c r="P6" s="70"/>
      <c r="Q6" s="70"/>
      <c r="R6" s="70"/>
      <c r="S6" s="70"/>
      <c r="T6" s="70"/>
      <c r="U6" s="70"/>
      <c r="V6" s="70"/>
      <c r="W6" s="70"/>
      <c r="X6" s="70"/>
      <c r="Y6" s="70"/>
      <c r="Z6" s="70"/>
      <c r="AA6" s="70"/>
      <c r="AB6" s="70"/>
      <c r="AC6" s="70"/>
      <c r="AD6" s="70"/>
      <c r="AE6" s="70"/>
      <c r="AF6" s="70"/>
      <c r="AG6" s="70"/>
      <c r="AH6" s="70"/>
      <c r="AI6" s="70"/>
      <c r="AJ6" s="70"/>
      <c r="AK6" s="70"/>
      <c r="AL6" s="70"/>
      <c r="AM6" s="70"/>
      <c r="AN6" s="70"/>
      <c r="AO6" s="70"/>
      <c r="AP6" s="70"/>
      <c r="AQ6" s="70"/>
      <c r="AR6" s="70"/>
      <c r="AS6" s="70"/>
      <c r="AT6" s="70"/>
      <c r="AU6" s="70"/>
      <c r="AV6" s="70"/>
      <c r="AW6" s="70"/>
      <c r="AX6" s="70"/>
      <c r="AY6" s="70"/>
      <c r="AZ6" s="70"/>
      <c r="BA6" s="70"/>
      <c r="BB6" s="70"/>
      <c r="BC6" s="70"/>
      <c r="BD6" s="70"/>
      <c r="BE6" s="70"/>
      <c r="BF6" s="70"/>
      <c r="BG6" s="70"/>
      <c r="BH6" s="70"/>
      <c r="BI6" s="70"/>
      <c r="BJ6" s="70"/>
      <c r="BK6" s="70"/>
      <c r="BL6" s="70"/>
      <c r="BM6" s="70"/>
      <c r="BN6" s="70"/>
      <c r="BO6" s="70"/>
      <c r="BP6" s="70"/>
      <c r="BQ6" s="73"/>
    </row>
    <row r="7" spans="1:81">
      <c r="A7" s="177"/>
      <c r="B7" s="177"/>
      <c r="C7" s="75" t="s">
        <v>5</v>
      </c>
      <c r="D7" s="75"/>
      <c r="E7" s="75"/>
      <c r="F7" s="75"/>
      <c r="G7" s="75"/>
      <c r="H7" s="75"/>
      <c r="I7" s="75"/>
      <c r="J7" s="75"/>
      <c r="K7" s="75"/>
      <c r="L7" s="75"/>
      <c r="M7" s="75"/>
      <c r="N7" s="75"/>
      <c r="O7" s="75"/>
      <c r="P7" s="75"/>
      <c r="Q7" s="75"/>
      <c r="R7" s="75"/>
      <c r="S7" s="75"/>
      <c r="T7" s="75"/>
      <c r="U7" s="75"/>
      <c r="V7" s="75"/>
      <c r="W7" s="75"/>
      <c r="X7" s="75"/>
      <c r="Y7" s="75"/>
      <c r="Z7" s="75"/>
      <c r="AA7" s="75"/>
      <c r="AB7" s="75"/>
      <c r="AC7" s="75"/>
      <c r="AD7" s="75"/>
      <c r="AE7" s="75"/>
      <c r="AF7" s="75"/>
      <c r="AG7" s="75"/>
      <c r="AH7" s="75"/>
      <c r="AI7" s="75"/>
      <c r="AJ7" s="75"/>
      <c r="AK7" s="75"/>
      <c r="AL7" s="75"/>
      <c r="AM7" s="75"/>
      <c r="AN7" s="75"/>
      <c r="AO7" s="75"/>
      <c r="AP7" s="75"/>
      <c r="AQ7" s="75"/>
      <c r="AR7" s="75"/>
      <c r="AS7" s="75"/>
      <c r="AT7" s="75"/>
      <c r="AU7" s="75"/>
      <c r="AV7" s="75"/>
      <c r="AW7" s="75"/>
      <c r="AX7" s="75"/>
      <c r="AY7" s="75"/>
      <c r="AZ7" s="75"/>
      <c r="BA7" s="75"/>
      <c r="BB7" s="75"/>
      <c r="BC7" s="75"/>
      <c r="BD7" s="75"/>
      <c r="BE7" s="180"/>
      <c r="BF7" s="98" t="s">
        <v>154</v>
      </c>
      <c r="BG7" s="75"/>
      <c r="BH7" s="75"/>
      <c r="BI7" s="75"/>
      <c r="BJ7" s="75"/>
      <c r="BK7" s="75"/>
      <c r="BL7" s="75"/>
      <c r="BM7" s="75"/>
      <c r="BN7" s="99"/>
      <c r="BO7" s="75"/>
      <c r="BP7" s="100"/>
      <c r="BQ7" s="180"/>
    </row>
    <row r="8" spans="1:81">
      <c r="A8" s="181" t="s">
        <v>155</v>
      </c>
      <c r="B8" s="179" t="s">
        <v>156</v>
      </c>
      <c r="C8" s="101">
        <v>1982</v>
      </c>
      <c r="D8" s="101">
        <v>1983</v>
      </c>
      <c r="E8" s="101">
        <v>1984</v>
      </c>
      <c r="F8" s="101">
        <v>1985</v>
      </c>
      <c r="G8" s="101">
        <v>1986</v>
      </c>
      <c r="H8" s="101">
        <v>1987</v>
      </c>
      <c r="I8" s="101">
        <v>1988</v>
      </c>
      <c r="J8" s="101">
        <v>1989</v>
      </c>
      <c r="K8" s="101">
        <v>1990</v>
      </c>
      <c r="L8" s="101">
        <v>1991</v>
      </c>
      <c r="M8" s="101">
        <v>1992</v>
      </c>
      <c r="N8" s="101">
        <v>1993</v>
      </c>
      <c r="O8" s="101">
        <v>1994</v>
      </c>
      <c r="P8" s="101">
        <v>1995</v>
      </c>
      <c r="Q8" s="101">
        <v>1996</v>
      </c>
      <c r="R8" s="101">
        <v>1997</v>
      </c>
      <c r="S8" s="101">
        <v>1998</v>
      </c>
      <c r="T8" s="101">
        <v>1999</v>
      </c>
      <c r="U8" s="101">
        <v>2000</v>
      </c>
      <c r="V8" s="101">
        <v>2001</v>
      </c>
      <c r="W8" s="101">
        <v>2002</v>
      </c>
      <c r="X8" s="101">
        <v>2003</v>
      </c>
      <c r="Y8" s="101">
        <v>2004</v>
      </c>
      <c r="Z8" s="101">
        <v>2005</v>
      </c>
      <c r="AA8" s="101">
        <v>2006</v>
      </c>
      <c r="AB8" s="101">
        <v>2007</v>
      </c>
      <c r="AC8" s="101">
        <v>2008</v>
      </c>
      <c r="AD8" s="101">
        <v>2009</v>
      </c>
      <c r="AE8" s="101">
        <v>2010</v>
      </c>
      <c r="AF8" s="101">
        <v>2011</v>
      </c>
      <c r="AG8" s="101">
        <v>2012</v>
      </c>
      <c r="AH8" s="101">
        <v>2013</v>
      </c>
      <c r="AI8" s="101">
        <v>2014</v>
      </c>
      <c r="AJ8" s="101">
        <v>2015</v>
      </c>
      <c r="AK8" s="101">
        <v>2016</v>
      </c>
      <c r="AL8" s="101">
        <v>2017</v>
      </c>
      <c r="AM8" s="101">
        <v>2018</v>
      </c>
      <c r="AN8" s="101">
        <v>2019</v>
      </c>
      <c r="AO8" s="101">
        <v>2020</v>
      </c>
      <c r="AP8" s="101">
        <v>2021</v>
      </c>
      <c r="AQ8" s="101">
        <v>2022</v>
      </c>
      <c r="AR8" s="101">
        <v>2023</v>
      </c>
      <c r="AS8" s="101">
        <v>2024</v>
      </c>
      <c r="AT8" s="101">
        <v>2025</v>
      </c>
      <c r="AU8" s="101">
        <v>2026</v>
      </c>
      <c r="AV8" s="101">
        <v>2027</v>
      </c>
      <c r="AW8" s="101">
        <v>2028</v>
      </c>
      <c r="AX8" s="101">
        <v>2029</v>
      </c>
      <c r="AY8" s="101">
        <v>2030</v>
      </c>
      <c r="AZ8" s="101">
        <v>2031</v>
      </c>
      <c r="BA8" s="101">
        <v>2032</v>
      </c>
      <c r="BB8" s="101">
        <v>2033</v>
      </c>
      <c r="BC8" s="101">
        <v>2034</v>
      </c>
      <c r="BD8" s="101">
        <v>2035</v>
      </c>
      <c r="BE8" s="111">
        <v>2036</v>
      </c>
      <c r="BF8" s="101" t="s">
        <v>157</v>
      </c>
      <c r="BG8" s="101" t="s">
        <v>158</v>
      </c>
      <c r="BH8" s="101" t="s">
        <v>159</v>
      </c>
      <c r="BI8" s="101" t="s">
        <v>160</v>
      </c>
      <c r="BJ8" s="101" t="s">
        <v>161</v>
      </c>
      <c r="BK8" s="101" t="s">
        <v>162</v>
      </c>
      <c r="BL8" s="101" t="s">
        <v>163</v>
      </c>
      <c r="BM8" s="101" t="s">
        <v>164</v>
      </c>
      <c r="BN8" s="101" t="s">
        <v>165</v>
      </c>
      <c r="BO8" s="101" t="s">
        <v>166</v>
      </c>
      <c r="BP8" s="102" t="s">
        <v>167</v>
      </c>
      <c r="BQ8" s="102" t="s">
        <v>168</v>
      </c>
    </row>
    <row r="9" spans="1:81" ht="15">
      <c r="A9" s="188" t="s">
        <v>169</v>
      </c>
      <c r="B9" s="187" t="s">
        <v>170</v>
      </c>
      <c r="C9" s="40">
        <v>-1.177</v>
      </c>
      <c r="D9" s="40">
        <v>-2.6869999999999998</v>
      </c>
      <c r="E9" s="40">
        <v>-3.7480000000000002</v>
      </c>
      <c r="F9" s="40">
        <v>-4.431</v>
      </c>
      <c r="G9" s="40">
        <v>-5.391</v>
      </c>
      <c r="H9" s="40">
        <v>-6.1669999999999998</v>
      </c>
      <c r="I9" s="40"/>
      <c r="J9" s="40"/>
      <c r="K9" s="40"/>
      <c r="L9" s="40"/>
      <c r="M9" s="40"/>
      <c r="N9" s="40"/>
      <c r="O9" s="40"/>
      <c r="P9" s="40"/>
      <c r="Q9" s="40"/>
      <c r="R9" s="40"/>
      <c r="S9" s="40"/>
      <c r="T9" s="40"/>
      <c r="U9" s="40"/>
      <c r="V9" s="40"/>
      <c r="W9" s="40"/>
      <c r="X9" s="40"/>
      <c r="Y9" s="40"/>
      <c r="Z9" s="40"/>
      <c r="AA9" s="40"/>
      <c r="AB9" s="40"/>
      <c r="AC9" s="40"/>
      <c r="AD9" s="40"/>
      <c r="AE9" s="40"/>
      <c r="AF9" s="40"/>
      <c r="AG9" s="40"/>
      <c r="AH9" s="40"/>
      <c r="AI9" s="40"/>
      <c r="AJ9" s="40"/>
      <c r="AK9" s="40"/>
      <c r="AL9" s="40"/>
      <c r="AM9" s="40"/>
      <c r="AN9" s="40"/>
      <c r="AO9" s="40"/>
      <c r="AP9" s="40"/>
      <c r="AQ9" s="40"/>
      <c r="AR9" s="40"/>
      <c r="AS9" s="40"/>
      <c r="AT9" s="40"/>
      <c r="AU9" s="40"/>
      <c r="AV9" s="40"/>
      <c r="AW9" s="40"/>
      <c r="AX9" s="40"/>
      <c r="AY9" s="40"/>
      <c r="AZ9" s="40"/>
      <c r="BA9" s="40"/>
      <c r="BB9" s="40"/>
      <c r="BC9" s="40"/>
      <c r="BD9" s="40"/>
      <c r="BE9" s="103"/>
      <c r="BF9" s="40">
        <v>-1.177</v>
      </c>
      <c r="BG9" s="40">
        <v>-2.6869999999999998</v>
      </c>
      <c r="BH9" s="40">
        <v>-3.7480000000000002</v>
      </c>
      <c r="BI9" s="40">
        <v>-4.431</v>
      </c>
      <c r="BJ9" s="40">
        <v>-5.391</v>
      </c>
      <c r="BK9" s="40">
        <v>-6.1669999999999998</v>
      </c>
      <c r="BL9" s="40" t="s">
        <v>171</v>
      </c>
      <c r="BM9" s="40" t="s">
        <v>171</v>
      </c>
      <c r="BN9" s="40" t="s">
        <v>171</v>
      </c>
      <c r="BO9" s="40" t="s">
        <v>171</v>
      </c>
      <c r="BP9" s="104">
        <v>-3.4870000000000001</v>
      </c>
      <c r="BQ9" s="105" t="s">
        <v>171</v>
      </c>
      <c r="BR9" s="14"/>
      <c r="BS9" s="222"/>
      <c r="BT9" s="50"/>
      <c r="BU9" s="50"/>
      <c r="BV9" s="50"/>
      <c r="BW9" s="50"/>
      <c r="BX9" s="50"/>
      <c r="BY9" s="3"/>
      <c r="BZ9" s="50"/>
      <c r="CA9" s="50"/>
      <c r="CB9" s="50"/>
      <c r="CC9" s="50"/>
    </row>
    <row r="10" spans="1:81" ht="15">
      <c r="A10" s="188" t="s">
        <v>172</v>
      </c>
      <c r="B10" s="187" t="s">
        <v>173</v>
      </c>
      <c r="C10" s="40"/>
      <c r="D10" s="40">
        <v>0.50900000000000001</v>
      </c>
      <c r="E10" s="40">
        <v>0.96199999999999997</v>
      </c>
      <c r="F10" s="40">
        <v>0.98499999999999999</v>
      </c>
      <c r="G10" s="40">
        <v>1.038</v>
      </c>
      <c r="H10" s="40">
        <v>1.133</v>
      </c>
      <c r="I10" s="40">
        <v>1.0900000000000001</v>
      </c>
      <c r="J10" s="40"/>
      <c r="K10" s="40"/>
      <c r="L10" s="40"/>
      <c r="M10" s="40"/>
      <c r="N10" s="40"/>
      <c r="O10" s="40"/>
      <c r="P10" s="40"/>
      <c r="Q10" s="40"/>
      <c r="R10" s="40"/>
      <c r="S10" s="40"/>
      <c r="T10" s="40"/>
      <c r="U10" s="40"/>
      <c r="V10" s="40"/>
      <c r="W10" s="40"/>
      <c r="X10" s="40"/>
      <c r="Y10" s="40"/>
      <c r="Z10" s="40"/>
      <c r="AA10" s="40"/>
      <c r="AB10" s="40"/>
      <c r="AC10" s="40"/>
      <c r="AD10" s="40"/>
      <c r="AE10" s="40"/>
      <c r="AF10" s="40"/>
      <c r="AG10" s="40"/>
      <c r="AH10" s="40"/>
      <c r="AI10" s="40"/>
      <c r="AJ10" s="40"/>
      <c r="AK10" s="40"/>
      <c r="AL10" s="40"/>
      <c r="AM10" s="40"/>
      <c r="AN10" s="40"/>
      <c r="AO10" s="40"/>
      <c r="AP10" s="40"/>
      <c r="AQ10" s="40"/>
      <c r="AR10" s="40"/>
      <c r="AS10" s="40"/>
      <c r="AT10" s="40"/>
      <c r="AU10" s="40"/>
      <c r="AV10" s="40"/>
      <c r="AW10" s="40"/>
      <c r="AX10" s="40"/>
      <c r="AY10" s="40"/>
      <c r="AZ10" s="40"/>
      <c r="BA10" s="40"/>
      <c r="BB10" s="40"/>
      <c r="BC10" s="40"/>
      <c r="BD10" s="40"/>
      <c r="BE10" s="103"/>
      <c r="BF10" s="40">
        <v>0.50900000000000001</v>
      </c>
      <c r="BG10" s="40">
        <v>0.96199999999999997</v>
      </c>
      <c r="BH10" s="40">
        <v>0.98499999999999999</v>
      </c>
      <c r="BI10" s="40">
        <v>1.038</v>
      </c>
      <c r="BJ10" s="40">
        <v>1.133</v>
      </c>
      <c r="BK10" s="40">
        <v>1.0900000000000001</v>
      </c>
      <c r="BL10" s="40" t="s">
        <v>171</v>
      </c>
      <c r="BM10" s="40" t="s">
        <v>171</v>
      </c>
      <c r="BN10" s="40" t="s">
        <v>171</v>
      </c>
      <c r="BO10" s="40" t="s">
        <v>171</v>
      </c>
      <c r="BP10" s="104">
        <v>0.92500000000000004</v>
      </c>
      <c r="BQ10" s="105" t="s">
        <v>171</v>
      </c>
      <c r="BR10" s="14"/>
      <c r="BS10" s="222"/>
      <c r="BT10" s="50"/>
      <c r="BU10" s="50"/>
      <c r="BV10" s="50"/>
      <c r="BW10" s="50"/>
      <c r="BX10" s="50"/>
      <c r="BY10" s="3"/>
      <c r="BZ10" s="50"/>
      <c r="CA10" s="50"/>
      <c r="CB10" s="50"/>
    </row>
    <row r="11" spans="1:81" ht="15">
      <c r="A11" s="188" t="s">
        <v>174</v>
      </c>
      <c r="B11" s="187" t="s">
        <v>175</v>
      </c>
      <c r="C11" s="40"/>
      <c r="D11" s="40"/>
      <c r="E11" s="40">
        <v>0.154</v>
      </c>
      <c r="F11" s="40">
        <v>0.20200000000000001</v>
      </c>
      <c r="G11" s="40">
        <v>0.19400000000000001</v>
      </c>
      <c r="H11" s="40">
        <v>0.224</v>
      </c>
      <c r="I11" s="40">
        <v>0.436</v>
      </c>
      <c r="J11" s="40">
        <v>0.53300000000000003</v>
      </c>
      <c r="K11" s="106"/>
      <c r="L11" s="106"/>
      <c r="M11" s="106"/>
      <c r="N11" s="106"/>
      <c r="O11" s="106"/>
      <c r="P11" s="106"/>
      <c r="Q11" s="106"/>
      <c r="R11" s="106"/>
      <c r="S11" s="106"/>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40"/>
      <c r="AW11" s="40"/>
      <c r="AX11" s="40"/>
      <c r="AY11" s="40"/>
      <c r="AZ11" s="40"/>
      <c r="BA11" s="40"/>
      <c r="BB11" s="40"/>
      <c r="BC11" s="40"/>
      <c r="BD11" s="40"/>
      <c r="BE11" s="103"/>
      <c r="BF11" s="40">
        <v>0.154</v>
      </c>
      <c r="BG11" s="40">
        <v>0.20200000000000001</v>
      </c>
      <c r="BH11" s="40">
        <v>0.19400000000000001</v>
      </c>
      <c r="BI11" s="40">
        <v>0.224</v>
      </c>
      <c r="BJ11" s="40">
        <v>0.436</v>
      </c>
      <c r="BK11" s="40">
        <v>0.53300000000000003</v>
      </c>
      <c r="BL11" s="40" t="s">
        <v>171</v>
      </c>
      <c r="BM11" s="40" t="s">
        <v>171</v>
      </c>
      <c r="BN11" s="40" t="s">
        <v>171</v>
      </c>
      <c r="BO11" s="40" t="s">
        <v>171</v>
      </c>
      <c r="BP11" s="104">
        <v>0.24199999999999999</v>
      </c>
      <c r="BQ11" s="105" t="s">
        <v>171</v>
      </c>
      <c r="BR11" s="14"/>
      <c r="BS11" s="222"/>
      <c r="BT11" s="50"/>
      <c r="BU11" s="50"/>
      <c r="BV11" s="50"/>
      <c r="BW11" s="50"/>
      <c r="BX11" s="50"/>
      <c r="BY11" s="3"/>
      <c r="BZ11" s="50"/>
      <c r="CA11" s="50"/>
      <c r="CB11" s="50"/>
    </row>
    <row r="12" spans="1:81" ht="15">
      <c r="A12" s="188" t="s">
        <v>176</v>
      </c>
      <c r="B12" s="187" t="s">
        <v>177</v>
      </c>
      <c r="C12" s="40"/>
      <c r="D12" s="40"/>
      <c r="E12" s="40">
        <v>2.5000000000000001E-2</v>
      </c>
      <c r="F12" s="40">
        <v>0.25800000000000001</v>
      </c>
      <c r="G12" s="40">
        <v>0.376</v>
      </c>
      <c r="H12" s="40">
        <v>0.46100000000000002</v>
      </c>
      <c r="I12" s="40">
        <v>0.48699999999999999</v>
      </c>
      <c r="J12" s="40">
        <v>0.48599999999999999</v>
      </c>
      <c r="K12" s="106"/>
      <c r="L12" s="106"/>
      <c r="M12" s="106"/>
      <c r="N12" s="106"/>
      <c r="O12" s="106"/>
      <c r="P12" s="106"/>
      <c r="Q12" s="106"/>
      <c r="R12" s="106"/>
      <c r="S12" s="106"/>
      <c r="T12" s="40"/>
      <c r="U12" s="40"/>
      <c r="V12" s="40"/>
      <c r="W12" s="40"/>
      <c r="X12" s="40"/>
      <c r="Y12" s="40"/>
      <c r="Z12" s="40"/>
      <c r="AA12" s="40"/>
      <c r="AB12" s="40"/>
      <c r="AC12" s="40"/>
      <c r="AD12" s="40"/>
      <c r="AE12" s="40"/>
      <c r="AF12" s="40"/>
      <c r="AG12" s="40"/>
      <c r="AH12" s="40"/>
      <c r="AI12" s="40"/>
      <c r="AJ12" s="40"/>
      <c r="AK12" s="40"/>
      <c r="AL12" s="40"/>
      <c r="AM12" s="40"/>
      <c r="AN12" s="40"/>
      <c r="AO12" s="40"/>
      <c r="AP12" s="40"/>
      <c r="AQ12" s="40"/>
      <c r="AR12" s="40"/>
      <c r="AS12" s="40"/>
      <c r="AT12" s="40"/>
      <c r="AU12" s="40"/>
      <c r="AV12" s="40"/>
      <c r="AW12" s="40"/>
      <c r="AX12" s="40"/>
      <c r="AY12" s="40"/>
      <c r="AZ12" s="40"/>
      <c r="BA12" s="40"/>
      <c r="BB12" s="40"/>
      <c r="BC12" s="40"/>
      <c r="BD12" s="40"/>
      <c r="BE12" s="103"/>
      <c r="BF12" s="40">
        <v>2.5000000000000001E-2</v>
      </c>
      <c r="BG12" s="40">
        <v>0.25800000000000001</v>
      </c>
      <c r="BH12" s="40">
        <v>0.376</v>
      </c>
      <c r="BI12" s="40">
        <v>0.46100000000000002</v>
      </c>
      <c r="BJ12" s="40">
        <v>0.48699999999999999</v>
      </c>
      <c r="BK12" s="40">
        <v>0.48599999999999999</v>
      </c>
      <c r="BL12" s="40" t="s">
        <v>171</v>
      </c>
      <c r="BM12" s="40" t="s">
        <v>171</v>
      </c>
      <c r="BN12" s="40" t="s">
        <v>171</v>
      </c>
      <c r="BO12" s="40" t="s">
        <v>171</v>
      </c>
      <c r="BP12" s="104">
        <v>0.32100000000000001</v>
      </c>
      <c r="BQ12" s="105" t="s">
        <v>171</v>
      </c>
      <c r="BR12" s="14"/>
      <c r="BS12" s="222"/>
      <c r="BT12" s="50"/>
      <c r="BU12" s="50"/>
      <c r="BV12" s="50"/>
      <c r="BW12" s="50"/>
      <c r="BX12" s="50"/>
      <c r="BY12" s="3"/>
      <c r="BZ12" s="50"/>
      <c r="CA12" s="50"/>
      <c r="CB12" s="50"/>
    </row>
    <row r="13" spans="1:81" ht="15">
      <c r="A13" s="188" t="s">
        <v>179</v>
      </c>
      <c r="B13" s="187" t="s">
        <v>180</v>
      </c>
      <c r="C13" s="40"/>
      <c r="D13" s="40"/>
      <c r="E13" s="106"/>
      <c r="F13" s="106"/>
      <c r="G13" s="106"/>
      <c r="H13" s="40">
        <v>0.24299999999999999</v>
      </c>
      <c r="I13" s="40">
        <v>-3.3000000000000002E-2</v>
      </c>
      <c r="J13" s="40">
        <v>-0.17299999999999999</v>
      </c>
      <c r="K13" s="40">
        <v>-2.1999999999999999E-2</v>
      </c>
      <c r="L13" s="40">
        <v>6.0999999999999999E-2</v>
      </c>
      <c r="M13" s="40">
        <v>7.1999999999999995E-2</v>
      </c>
      <c r="N13" s="106"/>
      <c r="O13" s="106"/>
      <c r="P13" s="106"/>
      <c r="Q13" s="106"/>
      <c r="R13" s="106"/>
      <c r="S13" s="106"/>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40"/>
      <c r="AX13" s="40"/>
      <c r="AY13" s="40"/>
      <c r="AZ13" s="40"/>
      <c r="BA13" s="40"/>
      <c r="BB13" s="40"/>
      <c r="BC13" s="40"/>
      <c r="BD13" s="40"/>
      <c r="BE13" s="103"/>
      <c r="BF13" s="40">
        <v>0.24299999999999999</v>
      </c>
      <c r="BG13" s="40">
        <v>-3.3000000000000002E-2</v>
      </c>
      <c r="BH13" s="40">
        <v>-0.17299999999999999</v>
      </c>
      <c r="BI13" s="40">
        <v>-2.1999999999999999E-2</v>
      </c>
      <c r="BJ13" s="40">
        <v>6.0999999999999999E-2</v>
      </c>
      <c r="BK13" s="40">
        <v>7.1999999999999995E-2</v>
      </c>
      <c r="BL13" s="40" t="s">
        <v>171</v>
      </c>
      <c r="BM13" s="40" t="s">
        <v>171</v>
      </c>
      <c r="BN13" s="40" t="s">
        <v>171</v>
      </c>
      <c r="BO13" s="40" t="s">
        <v>171</v>
      </c>
      <c r="BP13" s="104">
        <v>1.4999999999999999E-2</v>
      </c>
      <c r="BQ13" s="105" t="s">
        <v>171</v>
      </c>
      <c r="BR13" s="14"/>
      <c r="BS13" s="222"/>
      <c r="BT13" s="50"/>
      <c r="BU13" s="50"/>
      <c r="BV13" s="50"/>
      <c r="BW13" s="50"/>
      <c r="BX13" s="50"/>
      <c r="BY13" s="3"/>
      <c r="BZ13" s="50"/>
      <c r="CA13" s="50"/>
      <c r="CB13" s="50"/>
    </row>
    <row r="14" spans="1:81" ht="15">
      <c r="A14" s="188" t="s">
        <v>181</v>
      </c>
      <c r="B14" s="187" t="s">
        <v>182</v>
      </c>
      <c r="C14" s="40"/>
      <c r="D14" s="40"/>
      <c r="E14" s="106"/>
      <c r="F14" s="106"/>
      <c r="G14" s="106"/>
      <c r="H14" s="106"/>
      <c r="I14" s="40">
        <v>0.17499999999999999</v>
      </c>
      <c r="J14" s="40">
        <v>0.252</v>
      </c>
      <c r="K14" s="40">
        <v>0.254</v>
      </c>
      <c r="L14" s="40">
        <v>0.23</v>
      </c>
      <c r="M14" s="40">
        <v>0.17100000000000001</v>
      </c>
      <c r="N14" s="40">
        <v>0.11799999999999999</v>
      </c>
      <c r="O14" s="106"/>
      <c r="P14" s="106"/>
      <c r="Q14" s="106"/>
      <c r="R14" s="106"/>
      <c r="S14" s="106"/>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s="40"/>
      <c r="BE14" s="103"/>
      <c r="BF14" s="40">
        <v>0.17499999999999999</v>
      </c>
      <c r="BG14" s="40">
        <v>0.252</v>
      </c>
      <c r="BH14" s="40">
        <v>0.254</v>
      </c>
      <c r="BI14" s="40">
        <v>0.23</v>
      </c>
      <c r="BJ14" s="40">
        <v>0.17100000000000001</v>
      </c>
      <c r="BK14" s="40">
        <v>0.11799999999999999</v>
      </c>
      <c r="BL14" s="40" t="s">
        <v>171</v>
      </c>
      <c r="BM14" s="40" t="s">
        <v>171</v>
      </c>
      <c r="BN14" s="40" t="s">
        <v>171</v>
      </c>
      <c r="BO14" s="40" t="s">
        <v>171</v>
      </c>
      <c r="BP14" s="104">
        <v>0.217</v>
      </c>
      <c r="BQ14" s="105" t="s">
        <v>171</v>
      </c>
      <c r="BR14" s="14"/>
      <c r="BS14" s="222"/>
      <c r="BT14" s="50"/>
      <c r="BU14" s="50"/>
      <c r="BV14" s="50"/>
      <c r="BW14" s="50"/>
      <c r="BX14" s="50"/>
      <c r="BY14" s="3"/>
      <c r="BZ14" s="50"/>
      <c r="CA14" s="50"/>
      <c r="CB14" s="50"/>
    </row>
    <row r="15" spans="1:81" ht="15">
      <c r="A15" s="188" t="s">
        <v>184</v>
      </c>
      <c r="B15" s="187" t="s">
        <v>185</v>
      </c>
      <c r="C15" s="40"/>
      <c r="D15" s="40"/>
      <c r="E15" s="106"/>
      <c r="F15" s="106"/>
      <c r="G15" s="106"/>
      <c r="H15" s="106"/>
      <c r="I15" s="106"/>
      <c r="J15" s="106"/>
      <c r="K15" s="106"/>
      <c r="L15" s="40">
        <v>0.29499999999999998</v>
      </c>
      <c r="M15" s="40">
        <v>0.51400000000000001</v>
      </c>
      <c r="N15" s="40">
        <v>0.45800000000000002</v>
      </c>
      <c r="O15" s="40">
        <v>0.502</v>
      </c>
      <c r="P15" s="40">
        <v>0.503</v>
      </c>
      <c r="Q15" s="40">
        <v>0.41499999999999998</v>
      </c>
      <c r="R15" s="106"/>
      <c r="S15" s="106"/>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s="40"/>
      <c r="BE15" s="103"/>
      <c r="BF15" s="40">
        <v>0.29499999999999998</v>
      </c>
      <c r="BG15" s="40">
        <v>0.51400000000000001</v>
      </c>
      <c r="BH15" s="40">
        <v>0.45800000000000002</v>
      </c>
      <c r="BI15" s="40">
        <v>0.502</v>
      </c>
      <c r="BJ15" s="40">
        <v>0.503</v>
      </c>
      <c r="BK15" s="40">
        <v>0.41499999999999998</v>
      </c>
      <c r="BL15" s="40" t="s">
        <v>171</v>
      </c>
      <c r="BM15" s="40" t="s">
        <v>171</v>
      </c>
      <c r="BN15" s="40" t="s">
        <v>171</v>
      </c>
      <c r="BO15" s="40" t="s">
        <v>171</v>
      </c>
      <c r="BP15" s="104">
        <v>0.45400000000000001</v>
      </c>
      <c r="BQ15" s="105" t="s">
        <v>171</v>
      </c>
      <c r="BR15" s="14"/>
      <c r="BS15" s="222"/>
      <c r="BT15" s="50"/>
      <c r="BU15" s="50"/>
      <c r="BV15" s="50"/>
      <c r="BW15" s="50"/>
      <c r="BX15" s="50"/>
      <c r="BY15" s="3"/>
      <c r="BZ15" s="50"/>
      <c r="CA15" s="50"/>
      <c r="CB15" s="50"/>
    </row>
    <row r="16" spans="1:81" ht="15">
      <c r="A16" s="188" t="s">
        <v>186</v>
      </c>
      <c r="B16" s="187" t="s">
        <v>187</v>
      </c>
      <c r="C16" s="40"/>
      <c r="D16" s="40"/>
      <c r="E16" s="106"/>
      <c r="F16" s="106"/>
      <c r="G16" s="106"/>
      <c r="H16" s="128"/>
      <c r="I16" s="106"/>
      <c r="J16" s="106"/>
      <c r="K16" s="106"/>
      <c r="L16" s="106"/>
      <c r="M16" s="106"/>
      <c r="N16" s="106"/>
      <c r="O16" s="40">
        <v>0.36199999999999999</v>
      </c>
      <c r="P16" s="40">
        <v>0.58199999999999996</v>
      </c>
      <c r="Q16" s="40">
        <v>0.65400000000000003</v>
      </c>
      <c r="R16" s="40">
        <v>0.72199999999999998</v>
      </c>
      <c r="S16" s="40">
        <v>0.66100000000000003</v>
      </c>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s="40"/>
      <c r="BE16" s="103"/>
      <c r="BF16" s="40">
        <v>0.36199999999999999</v>
      </c>
      <c r="BG16" s="40">
        <v>0.58199999999999996</v>
      </c>
      <c r="BH16" s="40">
        <v>0.65400000000000003</v>
      </c>
      <c r="BI16" s="40">
        <v>0.72199999999999998</v>
      </c>
      <c r="BJ16" s="40">
        <v>0.66100000000000003</v>
      </c>
      <c r="BK16" s="40" t="s">
        <v>171</v>
      </c>
      <c r="BL16" s="40" t="s">
        <v>171</v>
      </c>
      <c r="BM16" s="40" t="s">
        <v>171</v>
      </c>
      <c r="BN16" s="40" t="s">
        <v>171</v>
      </c>
      <c r="BO16" s="40" t="s">
        <v>171</v>
      </c>
      <c r="BP16" s="104">
        <v>0.59599999999999997</v>
      </c>
      <c r="BQ16" s="105" t="s">
        <v>171</v>
      </c>
      <c r="BR16" s="14"/>
      <c r="BS16" s="222"/>
      <c r="BT16" s="50"/>
      <c r="BU16" s="50"/>
      <c r="BV16" s="50"/>
      <c r="BW16" s="50"/>
      <c r="BX16" s="50"/>
      <c r="BY16" s="3"/>
      <c r="BZ16" s="50"/>
      <c r="CA16" s="50"/>
      <c r="CB16" s="50"/>
    </row>
    <row r="17" spans="1:80" ht="15">
      <c r="A17" s="188" t="s">
        <v>188</v>
      </c>
      <c r="B17" s="187" t="s">
        <v>189</v>
      </c>
      <c r="C17" s="40"/>
      <c r="D17" s="40"/>
      <c r="E17" s="40"/>
      <c r="F17" s="40"/>
      <c r="G17" s="40"/>
      <c r="H17" s="40"/>
      <c r="I17" s="40"/>
      <c r="J17" s="40"/>
      <c r="K17" s="40"/>
      <c r="L17" s="40"/>
      <c r="M17" s="40"/>
      <c r="N17" s="40"/>
      <c r="O17" s="40"/>
      <c r="P17" s="40"/>
      <c r="Q17" s="40"/>
      <c r="R17" s="40" t="s">
        <v>190</v>
      </c>
      <c r="S17" s="40">
        <v>-0.10100000000000001</v>
      </c>
      <c r="T17" s="40">
        <v>-7.3999999999999996E-2</v>
      </c>
      <c r="U17" s="40">
        <v>-0.22700000000000001</v>
      </c>
      <c r="V17" s="40">
        <v>-0.22800000000000001</v>
      </c>
      <c r="W17" s="40">
        <v>-0.16600000000000001</v>
      </c>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0"/>
      <c r="AY17" s="40"/>
      <c r="AZ17" s="40"/>
      <c r="BA17" s="40"/>
      <c r="BB17" s="40"/>
      <c r="BC17" s="40"/>
      <c r="BD17" s="40"/>
      <c r="BE17" s="103"/>
      <c r="BF17" s="40" t="s">
        <v>190</v>
      </c>
      <c r="BG17" s="40">
        <v>-0.10100000000000001</v>
      </c>
      <c r="BH17" s="40">
        <v>-7.3999999999999996E-2</v>
      </c>
      <c r="BI17" s="40">
        <v>-0.22700000000000001</v>
      </c>
      <c r="BJ17" s="40">
        <v>-0.22800000000000001</v>
      </c>
      <c r="BK17" s="40">
        <v>-0.16600000000000001</v>
      </c>
      <c r="BL17" s="40" t="s">
        <v>171</v>
      </c>
      <c r="BM17" s="40" t="s">
        <v>171</v>
      </c>
      <c r="BN17" s="40" t="s">
        <v>171</v>
      </c>
      <c r="BO17" s="40" t="s">
        <v>171</v>
      </c>
      <c r="BP17" s="104">
        <v>-0.157</v>
      </c>
      <c r="BQ17" s="105" t="s">
        <v>171</v>
      </c>
      <c r="BR17" s="14"/>
      <c r="BS17" s="222"/>
      <c r="BT17" s="50"/>
      <c r="BU17" s="50"/>
      <c r="BV17" s="50"/>
      <c r="BW17" s="50"/>
      <c r="BX17" s="50"/>
      <c r="BY17" s="3"/>
      <c r="BZ17" s="50"/>
      <c r="CA17" s="50"/>
      <c r="CB17" s="50"/>
    </row>
    <row r="18" spans="1:80" ht="15">
      <c r="A18" s="188" t="s">
        <v>191</v>
      </c>
      <c r="B18" s="187" t="s">
        <v>192</v>
      </c>
      <c r="C18" s="40"/>
      <c r="D18" s="40"/>
      <c r="E18" s="40"/>
      <c r="F18" s="40"/>
      <c r="G18" s="40"/>
      <c r="H18" s="40"/>
      <c r="I18" s="40"/>
      <c r="J18" s="40"/>
      <c r="K18" s="40"/>
      <c r="L18" s="40"/>
      <c r="M18" s="40"/>
      <c r="N18" s="40"/>
      <c r="O18" s="40"/>
      <c r="P18" s="40"/>
      <c r="Q18" s="40"/>
      <c r="R18" s="40"/>
      <c r="S18" s="40"/>
      <c r="T18" s="40"/>
      <c r="U18" s="40"/>
      <c r="V18" s="40">
        <v>-0.66700000000000004</v>
      </c>
      <c r="W18" s="40">
        <v>-0.28899999999999998</v>
      </c>
      <c r="X18" s="40">
        <v>-0.745</v>
      </c>
      <c r="Y18" s="40">
        <v>-0.83699999999999997</v>
      </c>
      <c r="Z18" s="40">
        <v>-0.78100000000000003</v>
      </c>
      <c r="AA18" s="40">
        <v>-0.92100000000000004</v>
      </c>
      <c r="AB18" s="40">
        <v>-0.99299999999999999</v>
      </c>
      <c r="AC18" s="40">
        <v>-1.018</v>
      </c>
      <c r="AD18" s="40">
        <v>-1.0940000000000001</v>
      </c>
      <c r="AE18" s="40">
        <v>-1.1819999999999999</v>
      </c>
      <c r="AF18" s="40">
        <v>-0.75800000000000001</v>
      </c>
      <c r="AG18" s="40"/>
      <c r="AH18" s="40"/>
      <c r="AI18" s="40"/>
      <c r="AJ18" s="40"/>
      <c r="AK18" s="40"/>
      <c r="AL18" s="40"/>
      <c r="AM18" s="40"/>
      <c r="AN18" s="40"/>
      <c r="AO18" s="40"/>
      <c r="AP18" s="40"/>
      <c r="AQ18" s="40"/>
      <c r="AR18" s="40"/>
      <c r="AS18" s="40"/>
      <c r="AT18" s="40"/>
      <c r="AU18" s="40"/>
      <c r="AV18" s="40"/>
      <c r="AW18" s="40"/>
      <c r="AX18" s="40"/>
      <c r="AY18" s="40"/>
      <c r="AZ18" s="40"/>
      <c r="BA18" s="40"/>
      <c r="BB18" s="40"/>
      <c r="BC18" s="40"/>
      <c r="BD18" s="40"/>
      <c r="BE18" s="103"/>
      <c r="BF18" s="40">
        <v>-0.66700000000000004</v>
      </c>
      <c r="BG18" s="40">
        <v>-0.28899999999999998</v>
      </c>
      <c r="BH18" s="40">
        <v>-0.745</v>
      </c>
      <c r="BI18" s="40">
        <v>-0.83699999999999997</v>
      </c>
      <c r="BJ18" s="40">
        <v>-0.78100000000000003</v>
      </c>
      <c r="BK18" s="40">
        <v>-0.92100000000000004</v>
      </c>
      <c r="BL18" s="40">
        <v>-0.99299999999999999</v>
      </c>
      <c r="BM18" s="40">
        <v>-1.018</v>
      </c>
      <c r="BN18" s="40">
        <v>-1.0940000000000001</v>
      </c>
      <c r="BO18" s="40">
        <v>-1.1819999999999999</v>
      </c>
      <c r="BP18" s="104">
        <v>-0.66400000000000003</v>
      </c>
      <c r="BQ18" s="105">
        <v>-0.85299999999999998</v>
      </c>
      <c r="BR18" s="14"/>
      <c r="BS18" s="222"/>
      <c r="BT18" s="50"/>
      <c r="BU18" s="50"/>
      <c r="BV18" s="50"/>
      <c r="BW18" s="50"/>
      <c r="BX18" s="50"/>
      <c r="BY18" s="3"/>
      <c r="BZ18" s="50"/>
      <c r="CA18" s="50"/>
      <c r="CB18" s="50"/>
    </row>
    <row r="19" spans="1:80" ht="15">
      <c r="A19" s="188" t="s">
        <v>193</v>
      </c>
      <c r="B19" s="187" t="s">
        <v>194</v>
      </c>
      <c r="C19" s="40"/>
      <c r="D19" s="40"/>
      <c r="E19" s="40"/>
      <c r="F19" s="40"/>
      <c r="G19" s="40"/>
      <c r="H19" s="40"/>
      <c r="I19" s="40"/>
      <c r="J19" s="40"/>
      <c r="K19" s="40"/>
      <c r="L19" s="40"/>
      <c r="M19" s="40"/>
      <c r="N19" s="40"/>
      <c r="O19" s="40"/>
      <c r="P19" s="40"/>
      <c r="Q19" s="40"/>
      <c r="R19" s="40"/>
      <c r="S19" s="40"/>
      <c r="T19" s="40"/>
      <c r="U19" s="40"/>
      <c r="V19" s="40"/>
      <c r="W19" s="40">
        <v>-0.39200000000000002</v>
      </c>
      <c r="X19" s="40">
        <v>-0.34799999999999998</v>
      </c>
      <c r="Y19" s="40">
        <v>-0.24199999999999999</v>
      </c>
      <c r="Z19" s="40">
        <v>-2.7E-2</v>
      </c>
      <c r="AA19" s="40">
        <v>0.11799999999999999</v>
      </c>
      <c r="AB19" s="40">
        <v>0.11700000000000001</v>
      </c>
      <c r="AC19" s="40">
        <v>0.108</v>
      </c>
      <c r="AD19" s="40">
        <v>9.5000000000000001E-2</v>
      </c>
      <c r="AE19" s="40">
        <v>6.8000000000000005E-2</v>
      </c>
      <c r="AF19" s="40">
        <v>4.7E-2</v>
      </c>
      <c r="AG19" s="40">
        <v>2.9000000000000001E-2</v>
      </c>
      <c r="AH19" s="40"/>
      <c r="AI19" s="40"/>
      <c r="AJ19" s="40"/>
      <c r="AK19" s="40"/>
      <c r="AL19" s="40"/>
      <c r="AM19" s="40"/>
      <c r="AN19" s="40"/>
      <c r="AO19" s="40"/>
      <c r="AP19" s="40"/>
      <c r="AQ19" s="40"/>
      <c r="AR19" s="40"/>
      <c r="AS19" s="40"/>
      <c r="AT19" s="40"/>
      <c r="AU19" s="40"/>
      <c r="AV19" s="40"/>
      <c r="AW19" s="40"/>
      <c r="AX19" s="40"/>
      <c r="AY19" s="40"/>
      <c r="AZ19" s="40"/>
      <c r="BA19" s="40"/>
      <c r="BB19" s="40"/>
      <c r="BC19" s="40"/>
      <c r="BD19" s="40"/>
      <c r="BE19" s="103"/>
      <c r="BF19" s="40">
        <v>-0.39200000000000002</v>
      </c>
      <c r="BG19" s="40">
        <v>-0.34799999999999998</v>
      </c>
      <c r="BH19" s="40">
        <v>-0.24199999999999999</v>
      </c>
      <c r="BI19" s="40">
        <v>-2.7E-2</v>
      </c>
      <c r="BJ19" s="40">
        <v>0.11799999999999999</v>
      </c>
      <c r="BK19" s="40">
        <v>0.11700000000000001</v>
      </c>
      <c r="BL19" s="40">
        <v>0.108</v>
      </c>
      <c r="BM19" s="40">
        <v>9.5000000000000001E-2</v>
      </c>
      <c r="BN19" s="40">
        <v>6.8000000000000005E-2</v>
      </c>
      <c r="BO19" s="40">
        <v>4.7E-2</v>
      </c>
      <c r="BP19" s="104">
        <v>-0.17799999999999999</v>
      </c>
      <c r="BQ19" s="105">
        <v>-4.5999999999999999E-2</v>
      </c>
      <c r="BR19" s="14"/>
      <c r="BS19" s="222"/>
      <c r="BT19" s="50"/>
      <c r="BU19" s="50"/>
      <c r="BV19" s="50"/>
      <c r="BW19" s="50"/>
      <c r="BX19" s="50"/>
      <c r="BY19" s="3"/>
      <c r="BZ19" s="50"/>
      <c r="CA19" s="50"/>
      <c r="CB19" s="50"/>
    </row>
    <row r="20" spans="1:80" ht="15">
      <c r="A20" s="188" t="s">
        <v>195</v>
      </c>
      <c r="B20" s="187" t="s">
        <v>196</v>
      </c>
      <c r="C20" s="40"/>
      <c r="D20" s="40"/>
      <c r="E20" s="40"/>
      <c r="F20" s="40"/>
      <c r="G20" s="40"/>
      <c r="H20" s="40"/>
      <c r="I20" s="40"/>
      <c r="J20" s="40"/>
      <c r="K20" s="40"/>
      <c r="L20" s="40"/>
      <c r="M20" s="40"/>
      <c r="N20" s="40"/>
      <c r="O20" s="40"/>
      <c r="P20" s="40"/>
      <c r="Q20" s="40"/>
      <c r="R20" s="40"/>
      <c r="S20" s="40"/>
      <c r="T20" s="40"/>
      <c r="U20" s="40"/>
      <c r="V20" s="40"/>
      <c r="W20" s="40"/>
      <c r="X20" s="40">
        <v>-0.47099999999999997</v>
      </c>
      <c r="Y20" s="40">
        <v>-1.1259999999999999</v>
      </c>
      <c r="Z20" s="40">
        <v>-0.60399999999999998</v>
      </c>
      <c r="AA20" s="40">
        <v>-0.151</v>
      </c>
      <c r="AB20" s="40">
        <v>-9.5000000000000001E-2</v>
      </c>
      <c r="AC20" s="40">
        <v>-0.113</v>
      </c>
      <c r="AD20" s="40">
        <v>-7.6999999999999999E-2</v>
      </c>
      <c r="AE20" s="40">
        <v>-2.8000000000000001E-2</v>
      </c>
      <c r="AF20" s="40">
        <v>2.7E-2</v>
      </c>
      <c r="AG20" s="40">
        <v>1.6E-2</v>
      </c>
      <c r="AH20" s="40">
        <v>0.01</v>
      </c>
      <c r="AI20" s="40"/>
      <c r="AJ20" s="40"/>
      <c r="AK20" s="40"/>
      <c r="AL20" s="40"/>
      <c r="AM20" s="40"/>
      <c r="AN20" s="40"/>
      <c r="AO20" s="40"/>
      <c r="AP20" s="40"/>
      <c r="AQ20" s="40"/>
      <c r="AR20" s="40"/>
      <c r="AS20" s="40"/>
      <c r="AT20" s="40"/>
      <c r="AU20" s="40"/>
      <c r="AV20" s="40"/>
      <c r="AW20" s="40"/>
      <c r="AX20" s="40"/>
      <c r="AY20" s="40"/>
      <c r="AZ20" s="40"/>
      <c r="BA20" s="40"/>
      <c r="BB20" s="40"/>
      <c r="BC20" s="40"/>
      <c r="BD20" s="40"/>
      <c r="BE20" s="103"/>
      <c r="BF20" s="40">
        <v>-0.47099999999999997</v>
      </c>
      <c r="BG20" s="40">
        <v>-1.1259999999999999</v>
      </c>
      <c r="BH20" s="40">
        <v>-0.60399999999999998</v>
      </c>
      <c r="BI20" s="40">
        <v>-0.151</v>
      </c>
      <c r="BJ20" s="40">
        <v>-9.5000000000000001E-2</v>
      </c>
      <c r="BK20" s="40">
        <v>-0.113</v>
      </c>
      <c r="BL20" s="40">
        <v>-7.6999999999999999E-2</v>
      </c>
      <c r="BM20" s="40">
        <v>-2.8000000000000001E-2</v>
      </c>
      <c r="BN20" s="40">
        <v>2.7E-2</v>
      </c>
      <c r="BO20" s="40">
        <v>1.6E-2</v>
      </c>
      <c r="BP20" s="104">
        <v>-0.48899999999999999</v>
      </c>
      <c r="BQ20" s="105">
        <v>-0.26200000000000001</v>
      </c>
      <c r="BR20" s="14"/>
      <c r="BS20" s="222"/>
      <c r="BT20" s="50"/>
      <c r="BU20" s="50"/>
      <c r="BV20" s="50"/>
      <c r="BW20" s="50"/>
      <c r="BX20" s="50"/>
      <c r="BY20" s="3"/>
      <c r="BZ20" s="50"/>
      <c r="CA20" s="50"/>
      <c r="CB20" s="50"/>
    </row>
    <row r="21" spans="1:80" ht="15">
      <c r="A21" s="188" t="s">
        <v>197</v>
      </c>
      <c r="B21" s="187" t="s">
        <v>198</v>
      </c>
      <c r="C21" s="40"/>
      <c r="D21" s="40"/>
      <c r="E21" s="40"/>
      <c r="F21" s="40"/>
      <c r="G21" s="40"/>
      <c r="H21" s="40"/>
      <c r="I21" s="40"/>
      <c r="J21" s="40"/>
      <c r="K21" s="40"/>
      <c r="L21" s="40"/>
      <c r="M21" s="40"/>
      <c r="N21" s="40"/>
      <c r="O21" s="40"/>
      <c r="P21" s="40"/>
      <c r="Q21" s="40"/>
      <c r="R21" s="40"/>
      <c r="S21" s="40"/>
      <c r="T21" s="40"/>
      <c r="U21" s="40"/>
      <c r="V21" s="40"/>
      <c r="W21" s="40"/>
      <c r="X21" s="40"/>
      <c r="Y21" s="40"/>
      <c r="Z21" s="40">
        <v>-0.21099999999999999</v>
      </c>
      <c r="AA21" s="40">
        <v>-0.27400000000000002</v>
      </c>
      <c r="AB21" s="40">
        <v>-0.14000000000000001</v>
      </c>
      <c r="AC21" s="40">
        <v>-0.105</v>
      </c>
      <c r="AD21" s="40">
        <v>-8.4000000000000005E-2</v>
      </c>
      <c r="AE21" s="40">
        <v>-5.2999999999999999E-2</v>
      </c>
      <c r="AF21" s="40">
        <v>-8.0000000000000002E-3</v>
      </c>
      <c r="AG21" s="40">
        <v>-2E-3</v>
      </c>
      <c r="AH21" s="40">
        <v>-2E-3</v>
      </c>
      <c r="AI21" s="40">
        <v>-2E-3</v>
      </c>
      <c r="AJ21" s="40"/>
      <c r="AK21" s="40"/>
      <c r="AL21" s="40"/>
      <c r="AM21" s="40"/>
      <c r="AN21" s="40"/>
      <c r="AO21" s="40"/>
      <c r="AP21" s="40"/>
      <c r="AQ21" s="40"/>
      <c r="AR21" s="40"/>
      <c r="AS21" s="40"/>
      <c r="AT21" s="40"/>
      <c r="AU21" s="40"/>
      <c r="AV21" s="40"/>
      <c r="AW21" s="40"/>
      <c r="AX21" s="40"/>
      <c r="AY21" s="40"/>
      <c r="AZ21" s="40"/>
      <c r="BA21" s="40"/>
      <c r="BB21" s="40"/>
      <c r="BC21" s="40"/>
      <c r="BD21" s="40"/>
      <c r="BE21" s="103"/>
      <c r="BF21" s="40">
        <v>-0.21099999999999999</v>
      </c>
      <c r="BG21" s="40">
        <v>-0.27400000000000002</v>
      </c>
      <c r="BH21" s="40">
        <v>-0.14000000000000001</v>
      </c>
      <c r="BI21" s="40">
        <v>-0.105</v>
      </c>
      <c r="BJ21" s="40">
        <v>-8.4000000000000005E-2</v>
      </c>
      <c r="BK21" s="40">
        <v>-5.2999999999999999E-2</v>
      </c>
      <c r="BL21" s="40">
        <v>-8.0000000000000002E-3</v>
      </c>
      <c r="BM21" s="40">
        <v>-2E-3</v>
      </c>
      <c r="BN21" s="40">
        <v>-2E-3</v>
      </c>
      <c r="BO21" s="40">
        <v>-2E-3</v>
      </c>
      <c r="BP21" s="104">
        <v>-0.16300000000000001</v>
      </c>
      <c r="BQ21" s="105">
        <v>-8.7999999999999995E-2</v>
      </c>
      <c r="BR21" s="14"/>
      <c r="BS21" s="222"/>
      <c r="BT21" s="50"/>
      <c r="BU21" s="50"/>
      <c r="BV21" s="50"/>
      <c r="BW21" s="50"/>
      <c r="BX21" s="50"/>
      <c r="BY21" s="3"/>
      <c r="BZ21" s="50"/>
      <c r="CA21" s="50"/>
      <c r="CB21" s="50"/>
    </row>
    <row r="22" spans="1:80" ht="15">
      <c r="A22" s="188" t="s">
        <v>199</v>
      </c>
      <c r="B22" s="187" t="s">
        <v>200</v>
      </c>
      <c r="C22" s="40"/>
      <c r="D22" s="40"/>
      <c r="E22" s="40"/>
      <c r="F22" s="40"/>
      <c r="G22" s="40"/>
      <c r="H22" s="40"/>
      <c r="I22" s="40"/>
      <c r="J22" s="40"/>
      <c r="K22" s="40"/>
      <c r="L22" s="40"/>
      <c r="M22" s="40"/>
      <c r="N22" s="40"/>
      <c r="O22" s="40"/>
      <c r="P22" s="40"/>
      <c r="Q22" s="40"/>
      <c r="R22" s="40"/>
      <c r="S22" s="40"/>
      <c r="T22" s="40"/>
      <c r="U22" s="40"/>
      <c r="V22" s="40"/>
      <c r="W22" s="40"/>
      <c r="X22" s="40"/>
      <c r="Y22" s="40"/>
      <c r="Z22" s="40">
        <v>-3.7999999999999999E-2</v>
      </c>
      <c r="AA22" s="40">
        <v>-6.0999999999999999E-2</v>
      </c>
      <c r="AB22" s="40">
        <v>-3.3000000000000002E-2</v>
      </c>
      <c r="AC22" s="40">
        <v>1.4E-2</v>
      </c>
      <c r="AD22" s="40">
        <v>0.04</v>
      </c>
      <c r="AE22" s="40">
        <v>1.0999999999999999E-2</v>
      </c>
      <c r="AF22" s="40">
        <v>6.0000000000000001E-3</v>
      </c>
      <c r="AG22" s="40">
        <v>5.0000000000000001E-3</v>
      </c>
      <c r="AH22" s="40">
        <v>1E-3</v>
      </c>
      <c r="AI22" s="40">
        <v>-1E-3</v>
      </c>
      <c r="AJ22" s="40"/>
      <c r="AK22" s="40"/>
      <c r="AL22" s="40"/>
      <c r="AM22" s="40"/>
      <c r="AN22" s="40"/>
      <c r="AO22" s="40"/>
      <c r="AP22" s="40"/>
      <c r="AQ22" s="40"/>
      <c r="AR22" s="40"/>
      <c r="AS22" s="40"/>
      <c r="AT22" s="40"/>
      <c r="AU22" s="40"/>
      <c r="AV22" s="40"/>
      <c r="AW22" s="40"/>
      <c r="AX22" s="40"/>
      <c r="AY22" s="40"/>
      <c r="AZ22" s="40"/>
      <c r="BA22" s="40"/>
      <c r="BB22" s="40"/>
      <c r="BC22" s="40"/>
      <c r="BD22" s="40"/>
      <c r="BE22" s="103"/>
      <c r="BF22" s="40">
        <v>-3.7999999999999999E-2</v>
      </c>
      <c r="BG22" s="40">
        <v>-6.0999999999999999E-2</v>
      </c>
      <c r="BH22" s="40">
        <v>-3.3000000000000002E-2</v>
      </c>
      <c r="BI22" s="40">
        <v>1.4E-2</v>
      </c>
      <c r="BJ22" s="40">
        <v>0.04</v>
      </c>
      <c r="BK22" s="40">
        <v>1.0999999999999999E-2</v>
      </c>
      <c r="BL22" s="40">
        <v>6.0000000000000001E-3</v>
      </c>
      <c r="BM22" s="40">
        <v>5.0000000000000001E-3</v>
      </c>
      <c r="BN22" s="40">
        <v>1E-3</v>
      </c>
      <c r="BO22" s="40">
        <v>-1E-3</v>
      </c>
      <c r="BP22" s="104">
        <v>-1.6E-2</v>
      </c>
      <c r="BQ22" s="105">
        <v>-6.0000000000000001E-3</v>
      </c>
      <c r="BR22" s="14"/>
      <c r="BS22" s="222"/>
      <c r="BT22" s="50"/>
      <c r="BU22" s="50"/>
      <c r="BV22" s="50"/>
      <c r="BW22" s="50"/>
      <c r="BX22" s="50"/>
      <c r="BY22" s="3"/>
      <c r="BZ22" s="50"/>
      <c r="CA22" s="50"/>
      <c r="CB22" s="50"/>
    </row>
    <row r="23" spans="1:80" ht="15">
      <c r="A23" s="188" t="s">
        <v>201</v>
      </c>
      <c r="B23" s="187" t="s">
        <v>202</v>
      </c>
      <c r="C23" s="40"/>
      <c r="D23" s="40"/>
      <c r="E23" s="40"/>
      <c r="F23" s="40"/>
      <c r="G23" s="40"/>
      <c r="H23" s="40"/>
      <c r="I23" s="40"/>
      <c r="J23" s="40"/>
      <c r="K23" s="40"/>
      <c r="L23" s="40"/>
      <c r="M23" s="40"/>
      <c r="N23" s="40"/>
      <c r="O23" s="40"/>
      <c r="P23" s="40"/>
      <c r="Q23" s="40"/>
      <c r="R23" s="40"/>
      <c r="S23" s="40"/>
      <c r="T23" s="40"/>
      <c r="U23" s="40"/>
      <c r="V23" s="40"/>
      <c r="W23" s="40"/>
      <c r="X23" s="40"/>
      <c r="Y23" s="40"/>
      <c r="Z23" s="40"/>
      <c r="AA23" s="40">
        <v>-3.2000000000000001E-2</v>
      </c>
      <c r="AB23" s="40">
        <v>-0.22900000000000001</v>
      </c>
      <c r="AC23" s="40">
        <v>-5.0999999999999997E-2</v>
      </c>
      <c r="AD23" s="40">
        <v>-0.14099999999999999</v>
      </c>
      <c r="AE23" s="40">
        <v>-9.5000000000000001E-2</v>
      </c>
      <c r="AF23" s="40">
        <v>-0.01</v>
      </c>
      <c r="AG23" s="40">
        <v>0.02</v>
      </c>
      <c r="AH23" s="40">
        <v>1E-3</v>
      </c>
      <c r="AI23" s="40">
        <v>2E-3</v>
      </c>
      <c r="AJ23" s="40">
        <v>3.0000000000000001E-3</v>
      </c>
      <c r="AK23" s="50">
        <v>1E-3</v>
      </c>
      <c r="AL23" s="40"/>
      <c r="AM23" s="40"/>
      <c r="AN23" s="40"/>
      <c r="AO23" s="40"/>
      <c r="AP23" s="40"/>
      <c r="AQ23" s="40"/>
      <c r="AR23" s="40"/>
      <c r="AS23" s="40"/>
      <c r="AT23" s="40"/>
      <c r="AU23" s="40"/>
      <c r="AV23" s="40"/>
      <c r="AW23" s="40"/>
      <c r="AX23" s="40"/>
      <c r="AY23" s="40"/>
      <c r="AZ23" s="40"/>
      <c r="BA23" s="40"/>
      <c r="BB23" s="40"/>
      <c r="BC23" s="40"/>
      <c r="BD23" s="40"/>
      <c r="BE23" s="103"/>
      <c r="BF23" s="40">
        <v>-3.2000000000000001E-2</v>
      </c>
      <c r="BG23" s="40">
        <v>-0.22900000000000001</v>
      </c>
      <c r="BH23" s="40">
        <v>-5.0999999999999997E-2</v>
      </c>
      <c r="BI23" s="40">
        <v>-0.14099999999999999</v>
      </c>
      <c r="BJ23" s="40">
        <v>-9.5000000000000001E-2</v>
      </c>
      <c r="BK23" s="40">
        <v>-0.01</v>
      </c>
      <c r="BL23" s="40">
        <v>0.02</v>
      </c>
      <c r="BM23" s="40">
        <v>1E-3</v>
      </c>
      <c r="BN23" s="40">
        <v>2E-3</v>
      </c>
      <c r="BO23" s="40">
        <v>3.0000000000000001E-3</v>
      </c>
      <c r="BP23" s="104">
        <v>-0.11</v>
      </c>
      <c r="BQ23" s="105">
        <v>-5.2999999999999999E-2</v>
      </c>
      <c r="BR23" s="14"/>
      <c r="BS23" s="222"/>
      <c r="BT23" s="50"/>
      <c r="BU23" s="50"/>
      <c r="BV23" s="50"/>
      <c r="BW23" s="50"/>
      <c r="BX23" s="50"/>
      <c r="BY23" s="3"/>
      <c r="BZ23" s="50"/>
      <c r="CA23" s="50"/>
      <c r="CB23" s="50"/>
    </row>
    <row r="24" spans="1:80" ht="15">
      <c r="A24" s="188" t="s">
        <v>203</v>
      </c>
      <c r="B24" s="187" t="s">
        <v>204</v>
      </c>
      <c r="C24" s="40"/>
      <c r="D24" s="40"/>
      <c r="E24" s="40"/>
      <c r="F24" s="40"/>
      <c r="G24" s="40"/>
      <c r="H24" s="40"/>
      <c r="I24" s="40"/>
      <c r="J24" s="40"/>
      <c r="K24" s="40"/>
      <c r="L24" s="40"/>
      <c r="M24" s="40"/>
      <c r="N24" s="40"/>
      <c r="O24" s="40"/>
      <c r="P24" s="40"/>
      <c r="Q24" s="40"/>
      <c r="R24" s="40"/>
      <c r="S24" s="40"/>
      <c r="T24" s="40"/>
      <c r="U24" s="40"/>
      <c r="V24" s="40"/>
      <c r="W24" s="40"/>
      <c r="X24" s="40"/>
      <c r="Y24" s="40"/>
      <c r="Z24" s="40"/>
      <c r="AA24" s="40"/>
      <c r="AB24" s="40">
        <v>3.0000000000000001E-3</v>
      </c>
      <c r="AC24" s="40">
        <v>2E-3</v>
      </c>
      <c r="AD24" s="40">
        <v>-8.0000000000000002E-3</v>
      </c>
      <c r="AE24" s="40">
        <v>-1.2999999999999999E-2</v>
      </c>
      <c r="AF24" s="40">
        <v>-3.5999999999999997E-2</v>
      </c>
      <c r="AG24" s="40">
        <v>-5.8000000000000003E-2</v>
      </c>
      <c r="AH24" s="40">
        <v>-7.0000000000000007E-2</v>
      </c>
      <c r="AI24" s="40">
        <v>-7.9000000000000001E-2</v>
      </c>
      <c r="AJ24" s="40">
        <v>-8.2000000000000003E-2</v>
      </c>
      <c r="AK24" s="40">
        <v>-8.4000000000000005E-2</v>
      </c>
      <c r="AL24" s="40"/>
      <c r="AM24" s="40"/>
      <c r="AN24" s="40"/>
      <c r="AO24" s="40"/>
      <c r="AP24" s="40"/>
      <c r="AQ24" s="40"/>
      <c r="AR24" s="40"/>
      <c r="AS24" s="40"/>
      <c r="AT24" s="40"/>
      <c r="AU24" s="40"/>
      <c r="AV24" s="40"/>
      <c r="AW24" s="40"/>
      <c r="AX24" s="40"/>
      <c r="AY24" s="40"/>
      <c r="AZ24" s="40"/>
      <c r="BA24" s="40"/>
      <c r="BB24" s="40"/>
      <c r="BC24" s="40"/>
      <c r="BD24" s="40"/>
      <c r="BE24" s="103"/>
      <c r="BF24" s="40">
        <v>3.0000000000000001E-3</v>
      </c>
      <c r="BG24" s="40">
        <v>2E-3</v>
      </c>
      <c r="BH24" s="40">
        <v>-8.0000000000000002E-3</v>
      </c>
      <c r="BI24" s="40">
        <v>-1.2999999999999999E-2</v>
      </c>
      <c r="BJ24" s="40">
        <v>-3.5999999999999997E-2</v>
      </c>
      <c r="BK24" s="40">
        <v>-5.8000000000000003E-2</v>
      </c>
      <c r="BL24" s="40">
        <v>-7.0000000000000007E-2</v>
      </c>
      <c r="BM24" s="40">
        <v>-7.9000000000000001E-2</v>
      </c>
      <c r="BN24" s="40">
        <v>-8.2000000000000003E-2</v>
      </c>
      <c r="BO24" s="40">
        <v>-8.4000000000000005E-2</v>
      </c>
      <c r="BP24" s="104">
        <v>-0.01</v>
      </c>
      <c r="BQ24" s="105">
        <v>-4.2000000000000003E-2</v>
      </c>
      <c r="BR24" s="14"/>
      <c r="BS24" s="222"/>
      <c r="BT24" s="50"/>
      <c r="BU24" s="50"/>
      <c r="BV24" s="50"/>
      <c r="BW24" s="50"/>
      <c r="BX24" s="50"/>
      <c r="BY24" s="3"/>
      <c r="BZ24" s="50"/>
      <c r="CA24" s="50"/>
      <c r="CB24" s="50"/>
    </row>
    <row r="25" spans="1:80" ht="15">
      <c r="A25" s="188" t="s">
        <v>205</v>
      </c>
      <c r="B25" s="187" t="s">
        <v>206</v>
      </c>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v>-0.109</v>
      </c>
      <c r="AC25" s="40">
        <v>-7.3999999999999996E-2</v>
      </c>
      <c r="AD25" s="40">
        <v>-3.1E-2</v>
      </c>
      <c r="AE25" s="40">
        <v>-0.02</v>
      </c>
      <c r="AF25" s="40">
        <v>-1.2999999999999999E-2</v>
      </c>
      <c r="AG25" s="40">
        <v>-7.0000000000000001E-3</v>
      </c>
      <c r="AH25" s="40">
        <v>-5.0000000000000001E-3</v>
      </c>
      <c r="AI25" s="40">
        <v>-5.0000000000000001E-3</v>
      </c>
      <c r="AJ25" s="40">
        <v>-4.0000000000000001E-3</v>
      </c>
      <c r="AK25" s="40">
        <v>-3.0000000000000001E-3</v>
      </c>
      <c r="AL25" s="40"/>
      <c r="AM25" s="40"/>
      <c r="AN25" s="40"/>
      <c r="AO25" s="40"/>
      <c r="AP25" s="40"/>
      <c r="AQ25" s="40"/>
      <c r="AR25" s="40"/>
      <c r="AS25" s="40"/>
      <c r="AT25" s="40"/>
      <c r="AU25" s="40"/>
      <c r="AV25" s="40"/>
      <c r="AW25" s="40"/>
      <c r="AX25" s="40"/>
      <c r="AY25" s="40"/>
      <c r="AZ25" s="40"/>
      <c r="BA25" s="40"/>
      <c r="BB25" s="40"/>
      <c r="BC25" s="40"/>
      <c r="BD25" s="40"/>
      <c r="BE25" s="103"/>
      <c r="BF25" s="40">
        <v>-0.109</v>
      </c>
      <c r="BG25" s="40">
        <v>-7.3999999999999996E-2</v>
      </c>
      <c r="BH25" s="40">
        <v>-3.1E-2</v>
      </c>
      <c r="BI25" s="40">
        <v>-0.02</v>
      </c>
      <c r="BJ25" s="40">
        <v>-1.2999999999999999E-2</v>
      </c>
      <c r="BK25" s="40">
        <v>-7.0000000000000001E-3</v>
      </c>
      <c r="BL25" s="40">
        <v>-5.0000000000000001E-3</v>
      </c>
      <c r="BM25" s="40">
        <v>-5.0000000000000001E-3</v>
      </c>
      <c r="BN25" s="40">
        <v>-4.0000000000000001E-3</v>
      </c>
      <c r="BO25" s="40">
        <v>-3.0000000000000001E-3</v>
      </c>
      <c r="BP25" s="104">
        <v>-4.9000000000000002E-2</v>
      </c>
      <c r="BQ25" s="105">
        <v>-2.7E-2</v>
      </c>
      <c r="BR25" s="14"/>
      <c r="BS25" s="222"/>
      <c r="BT25" s="50"/>
      <c r="BU25" s="50"/>
      <c r="BV25" s="50"/>
      <c r="BW25" s="50"/>
      <c r="BX25" s="50"/>
      <c r="BY25" s="3"/>
      <c r="BZ25" s="50"/>
      <c r="CA25" s="50"/>
      <c r="CB25" s="50"/>
    </row>
    <row r="26" spans="1:80" ht="15">
      <c r="A26" s="188" t="s">
        <v>207</v>
      </c>
      <c r="B26" s="187" t="s">
        <v>208</v>
      </c>
      <c r="C26" s="40"/>
      <c r="D26" s="40"/>
      <c r="E26" s="40"/>
      <c r="F26" s="40"/>
      <c r="G26" s="40"/>
      <c r="H26" s="40"/>
      <c r="I26" s="40"/>
      <c r="J26" s="40"/>
      <c r="K26" s="40"/>
      <c r="L26" s="40"/>
      <c r="M26" s="40"/>
      <c r="N26" s="40"/>
      <c r="O26" s="40"/>
      <c r="P26" s="40"/>
      <c r="Q26" s="40"/>
      <c r="R26" s="40"/>
      <c r="S26" s="40"/>
      <c r="T26" s="40"/>
      <c r="U26" s="40"/>
      <c r="V26" s="40"/>
      <c r="W26" s="40"/>
      <c r="X26" s="40"/>
      <c r="Y26" s="40"/>
      <c r="Z26" s="40"/>
      <c r="AA26" s="40"/>
      <c r="AB26" s="40"/>
      <c r="AC26" s="40">
        <v>-0.47299999999999998</v>
      </c>
      <c r="AD26" s="40">
        <v>0.13400000000000001</v>
      </c>
      <c r="AE26" s="40">
        <v>0</v>
      </c>
      <c r="AF26" s="40">
        <v>0</v>
      </c>
      <c r="AG26" s="40">
        <v>0</v>
      </c>
      <c r="AH26" s="40">
        <v>0</v>
      </c>
      <c r="AI26" s="40">
        <v>0</v>
      </c>
      <c r="AJ26" s="40">
        <v>0</v>
      </c>
      <c r="AK26" s="40">
        <v>0</v>
      </c>
      <c r="AL26" s="40">
        <v>0</v>
      </c>
      <c r="AM26" s="40"/>
      <c r="AN26" s="40"/>
      <c r="AO26" s="40"/>
      <c r="AP26" s="40"/>
      <c r="AQ26" s="40"/>
      <c r="AR26" s="40"/>
      <c r="AS26" s="40"/>
      <c r="AT26" s="40"/>
      <c r="AU26" s="40"/>
      <c r="AV26" s="40"/>
      <c r="AW26" s="40"/>
      <c r="AX26" s="40"/>
      <c r="AY26" s="40"/>
      <c r="AZ26" s="40"/>
      <c r="BA26" s="40"/>
      <c r="BB26" s="40"/>
      <c r="BC26" s="40"/>
      <c r="BD26" s="40"/>
      <c r="BE26" s="103"/>
      <c r="BF26" s="40">
        <v>-0.47299999999999998</v>
      </c>
      <c r="BG26" s="40">
        <v>0.13400000000000001</v>
      </c>
      <c r="BH26" s="40">
        <v>0</v>
      </c>
      <c r="BI26" s="40">
        <v>0</v>
      </c>
      <c r="BJ26" s="40">
        <v>0</v>
      </c>
      <c r="BK26" s="40">
        <v>0</v>
      </c>
      <c r="BL26" s="40">
        <v>0</v>
      </c>
      <c r="BM26" s="40">
        <v>0</v>
      </c>
      <c r="BN26" s="40">
        <v>0</v>
      </c>
      <c r="BO26" s="40">
        <v>0</v>
      </c>
      <c r="BP26" s="104">
        <v>-6.8000000000000005E-2</v>
      </c>
      <c r="BQ26" s="105">
        <v>-3.4000000000000002E-2</v>
      </c>
      <c r="BR26" s="14"/>
      <c r="BS26" s="222"/>
      <c r="BT26" s="50"/>
      <c r="BU26" s="50"/>
      <c r="BV26" s="50"/>
      <c r="BW26" s="50"/>
      <c r="BX26" s="50"/>
      <c r="BY26" s="3"/>
      <c r="BZ26" s="50"/>
      <c r="CA26" s="50"/>
      <c r="CB26" s="50"/>
    </row>
    <row r="27" spans="1:80" ht="15">
      <c r="A27" s="188" t="s">
        <v>209</v>
      </c>
      <c r="B27" s="187" t="s">
        <v>210</v>
      </c>
      <c r="C27" s="40"/>
      <c r="D27" s="40"/>
      <c r="E27" s="40"/>
      <c r="F27" s="40"/>
      <c r="G27" s="40"/>
      <c r="H27" s="40"/>
      <c r="I27" s="40"/>
      <c r="J27" s="40"/>
      <c r="K27" s="40"/>
      <c r="L27" s="40"/>
      <c r="M27" s="40"/>
      <c r="N27" s="40"/>
      <c r="O27" s="40"/>
      <c r="P27" s="40"/>
      <c r="Q27" s="40"/>
      <c r="R27" s="40"/>
      <c r="S27" s="40"/>
      <c r="T27" s="40"/>
      <c r="U27" s="40"/>
      <c r="V27" s="40"/>
      <c r="W27" s="40"/>
      <c r="X27" s="40"/>
      <c r="Y27" s="40"/>
      <c r="Z27" s="40"/>
      <c r="AA27" s="40"/>
      <c r="AB27" s="40"/>
      <c r="AC27" s="40">
        <v>-0.76800000000000002</v>
      </c>
      <c r="AD27" s="40">
        <v>-8.5000000000000006E-2</v>
      </c>
      <c r="AE27" s="40">
        <v>7.9000000000000001E-2</v>
      </c>
      <c r="AF27" s="40">
        <v>5.7000000000000002E-2</v>
      </c>
      <c r="AG27" s="40">
        <v>4.7E-2</v>
      </c>
      <c r="AH27" s="40">
        <v>3.5000000000000003E-2</v>
      </c>
      <c r="AI27" s="40">
        <v>2.1999999999999999E-2</v>
      </c>
      <c r="AJ27" s="40">
        <v>1.2999999999999999E-2</v>
      </c>
      <c r="AK27" s="40">
        <v>7.0000000000000001E-3</v>
      </c>
      <c r="AL27" s="40">
        <v>5.0000000000000001E-3</v>
      </c>
      <c r="AM27" s="40">
        <v>5.0000000000000001E-3</v>
      </c>
      <c r="AN27" s="40"/>
      <c r="AO27" s="40"/>
      <c r="AP27" s="40"/>
      <c r="AQ27" s="40"/>
      <c r="AR27" s="40"/>
      <c r="AS27" s="40"/>
      <c r="AT27" s="40"/>
      <c r="AU27" s="40"/>
      <c r="AV27" s="40"/>
      <c r="AW27" s="40"/>
      <c r="AX27" s="40"/>
      <c r="AY27" s="40"/>
      <c r="AZ27" s="40"/>
      <c r="BA27" s="40"/>
      <c r="BB27" s="40"/>
      <c r="BC27" s="40"/>
      <c r="BD27" s="40"/>
      <c r="BE27" s="103"/>
      <c r="BF27" s="40">
        <v>-0.76800000000000002</v>
      </c>
      <c r="BG27" s="40">
        <v>-8.5000000000000006E-2</v>
      </c>
      <c r="BH27" s="40">
        <v>7.9000000000000001E-2</v>
      </c>
      <c r="BI27" s="40">
        <v>5.7000000000000002E-2</v>
      </c>
      <c r="BJ27" s="40">
        <v>4.7E-2</v>
      </c>
      <c r="BK27" s="40">
        <v>3.5000000000000003E-2</v>
      </c>
      <c r="BL27" s="40">
        <v>2.1999999999999999E-2</v>
      </c>
      <c r="BM27" s="40">
        <v>1.2999999999999999E-2</v>
      </c>
      <c r="BN27" s="40">
        <v>7.0000000000000001E-3</v>
      </c>
      <c r="BO27" s="40">
        <v>5.0000000000000001E-3</v>
      </c>
      <c r="BP27" s="104">
        <v>-0.13400000000000001</v>
      </c>
      <c r="BQ27" s="105">
        <v>-5.8999999999999997E-2</v>
      </c>
      <c r="BR27" s="14"/>
      <c r="BS27" s="222"/>
      <c r="BT27" s="50"/>
      <c r="BU27" s="50"/>
      <c r="BV27" s="50"/>
      <c r="BW27" s="50"/>
      <c r="BX27" s="50"/>
      <c r="BY27" s="3"/>
      <c r="BZ27" s="50"/>
      <c r="CA27" s="50"/>
      <c r="CB27" s="50"/>
    </row>
    <row r="28" spans="1:80" ht="15">
      <c r="A28" s="188" t="s">
        <v>211</v>
      </c>
      <c r="B28" s="187" t="s">
        <v>212</v>
      </c>
      <c r="C28" s="40"/>
      <c r="D28" s="40"/>
      <c r="E28" s="40"/>
      <c r="F28" s="40"/>
      <c r="G28" s="40"/>
      <c r="H28" s="40"/>
      <c r="I28" s="40"/>
      <c r="J28" s="40"/>
      <c r="K28" s="40"/>
      <c r="L28" s="40"/>
      <c r="M28" s="40"/>
      <c r="N28" s="40"/>
      <c r="O28" s="40"/>
      <c r="P28" s="40"/>
      <c r="Q28" s="40"/>
      <c r="R28" s="40"/>
      <c r="S28" s="40"/>
      <c r="T28" s="40"/>
      <c r="U28" s="40"/>
      <c r="V28" s="40"/>
      <c r="W28" s="40"/>
      <c r="X28" s="40"/>
      <c r="Y28" s="40"/>
      <c r="Z28" s="40"/>
      <c r="AA28" s="40"/>
      <c r="AB28" s="40"/>
      <c r="AC28" s="40">
        <v>-7.0000000000000001E-3</v>
      </c>
      <c r="AD28" s="40">
        <v>-7.5999999999999998E-2</v>
      </c>
      <c r="AE28" s="40">
        <v>2.5999999999999999E-2</v>
      </c>
      <c r="AF28" s="40">
        <v>2.9000000000000001E-2</v>
      </c>
      <c r="AG28" s="40">
        <v>-3.5999999999999997E-2</v>
      </c>
      <c r="AH28" s="40">
        <v>0.13200000000000001</v>
      </c>
      <c r="AI28" s="40">
        <v>-3.7999999999999999E-2</v>
      </c>
      <c r="AJ28" s="40">
        <v>1.7000000000000001E-2</v>
      </c>
      <c r="AK28" s="40">
        <v>1.6E-2</v>
      </c>
      <c r="AL28" s="40">
        <v>1.2999999999999999E-2</v>
      </c>
      <c r="AM28" s="40">
        <v>1.2E-2</v>
      </c>
      <c r="AN28" s="40"/>
      <c r="AO28" s="40"/>
      <c r="AP28" s="40"/>
      <c r="AQ28" s="40"/>
      <c r="AR28" s="40"/>
      <c r="AS28" s="40"/>
      <c r="AT28" s="40"/>
      <c r="AU28" s="40"/>
      <c r="AV28" s="40"/>
      <c r="AW28" s="40"/>
      <c r="AX28" s="40"/>
      <c r="AY28" s="40"/>
      <c r="AZ28" s="40"/>
      <c r="BA28" s="40"/>
      <c r="BB28" s="40"/>
      <c r="BC28" s="40"/>
      <c r="BD28" s="40"/>
      <c r="BE28" s="103"/>
      <c r="BF28" s="40">
        <v>-7.0000000000000001E-3</v>
      </c>
      <c r="BG28" s="40">
        <v>-7.5999999999999998E-2</v>
      </c>
      <c r="BH28" s="40">
        <v>2.5999999999999999E-2</v>
      </c>
      <c r="BI28" s="40">
        <v>2.9000000000000001E-2</v>
      </c>
      <c r="BJ28" s="40">
        <v>-3.5999999999999997E-2</v>
      </c>
      <c r="BK28" s="40">
        <v>0.13200000000000001</v>
      </c>
      <c r="BL28" s="40">
        <v>-3.7999999999999999E-2</v>
      </c>
      <c r="BM28" s="40">
        <v>1.7000000000000001E-2</v>
      </c>
      <c r="BN28" s="40">
        <v>1.6E-2</v>
      </c>
      <c r="BO28" s="40">
        <v>1.2999999999999999E-2</v>
      </c>
      <c r="BP28" s="104">
        <v>-1.2999999999999999E-2</v>
      </c>
      <c r="BQ28" s="105">
        <v>7.0000000000000001E-3</v>
      </c>
      <c r="BR28" s="14"/>
      <c r="BS28" s="222"/>
      <c r="BT28" s="50"/>
      <c r="BU28" s="50"/>
      <c r="BV28" s="50"/>
      <c r="BW28" s="50"/>
      <c r="BX28" s="50"/>
      <c r="BY28" s="3"/>
      <c r="BZ28" s="50"/>
      <c r="CA28" s="50"/>
      <c r="CB28" s="50"/>
    </row>
    <row r="29" spans="1:80" ht="15">
      <c r="A29" s="188" t="s">
        <v>213</v>
      </c>
      <c r="B29" s="187" t="s">
        <v>214</v>
      </c>
      <c r="C29" s="40"/>
      <c r="D29" s="40"/>
      <c r="E29" s="40"/>
      <c r="F29" s="40"/>
      <c r="G29" s="40"/>
      <c r="H29" s="40"/>
      <c r="I29" s="40"/>
      <c r="J29" s="40"/>
      <c r="K29" s="40"/>
      <c r="L29" s="40"/>
      <c r="M29" s="40"/>
      <c r="N29" s="40"/>
      <c r="O29" s="40"/>
      <c r="P29" s="40"/>
      <c r="Q29" s="40"/>
      <c r="R29" s="40"/>
      <c r="S29" s="40"/>
      <c r="T29" s="40"/>
      <c r="U29" s="40"/>
      <c r="V29" s="40"/>
      <c r="W29" s="40"/>
      <c r="X29" s="40"/>
      <c r="Y29" s="40"/>
      <c r="Z29" s="40"/>
      <c r="AA29" s="40"/>
      <c r="AB29" s="40"/>
      <c r="AC29" s="40"/>
      <c r="AD29" s="40">
        <v>-0.72</v>
      </c>
      <c r="AE29" s="40">
        <v>-0.02</v>
      </c>
      <c r="AF29" s="40">
        <v>-2.5999999999999999E-2</v>
      </c>
      <c r="AG29" s="40">
        <v>-1.7999999999999999E-2</v>
      </c>
      <c r="AH29" s="40">
        <v>-1.4E-2</v>
      </c>
      <c r="AI29" s="40">
        <v>-4.0000000000000001E-3</v>
      </c>
      <c r="AJ29" s="40">
        <v>3.0000000000000001E-3</v>
      </c>
      <c r="AK29" s="40">
        <v>4.0000000000000001E-3</v>
      </c>
      <c r="AL29" s="40">
        <v>4.2999999999999997E-2</v>
      </c>
      <c r="AM29" s="40">
        <v>0.02</v>
      </c>
      <c r="AN29" s="40"/>
      <c r="AO29" s="40"/>
      <c r="AP29" s="40"/>
      <c r="AQ29" s="40"/>
      <c r="AR29" s="40"/>
      <c r="AS29" s="40"/>
      <c r="AT29" s="40"/>
      <c r="AU29" s="40"/>
      <c r="AV29" s="40"/>
      <c r="AW29" s="40"/>
      <c r="AX29" s="40"/>
      <c r="AY29" s="40"/>
      <c r="AZ29" s="40"/>
      <c r="BA29" s="40"/>
      <c r="BB29" s="40"/>
      <c r="BC29" s="40"/>
      <c r="BD29" s="40"/>
      <c r="BE29" s="103"/>
      <c r="BF29" s="40">
        <v>-0.72</v>
      </c>
      <c r="BG29" s="40">
        <v>-0.02</v>
      </c>
      <c r="BH29" s="40">
        <v>-2.5999999999999999E-2</v>
      </c>
      <c r="BI29" s="40">
        <v>-1.7999999999999999E-2</v>
      </c>
      <c r="BJ29" s="40">
        <v>-1.4E-2</v>
      </c>
      <c r="BK29" s="40">
        <v>-4.0000000000000001E-3</v>
      </c>
      <c r="BL29" s="40">
        <v>3.0000000000000001E-3</v>
      </c>
      <c r="BM29" s="40">
        <v>4.0000000000000001E-3</v>
      </c>
      <c r="BN29" s="40">
        <v>4.2999999999999997E-2</v>
      </c>
      <c r="BO29" s="40">
        <v>0.02</v>
      </c>
      <c r="BP29" s="104">
        <v>-0.159</v>
      </c>
      <c r="BQ29" s="105">
        <v>-7.2999999999999995E-2</v>
      </c>
      <c r="BR29" s="14"/>
      <c r="BS29" s="222"/>
      <c r="BT29" s="50"/>
      <c r="BU29" s="50"/>
      <c r="BV29" s="50"/>
      <c r="BW29" s="50"/>
      <c r="BX29" s="50"/>
      <c r="BY29" s="3"/>
      <c r="BZ29" s="50"/>
      <c r="CA29" s="50"/>
      <c r="CB29" s="50"/>
    </row>
    <row r="30" spans="1:80" ht="15">
      <c r="A30" s="188" t="s">
        <v>215</v>
      </c>
      <c r="B30" s="187" t="s">
        <v>216</v>
      </c>
      <c r="C30" s="40"/>
      <c r="D30" s="40"/>
      <c r="E30" s="40"/>
      <c r="F30" s="40"/>
      <c r="G30" s="40"/>
      <c r="H30" s="40"/>
      <c r="I30" s="40"/>
      <c r="J30" s="40"/>
      <c r="K30" s="40"/>
      <c r="L30" s="40"/>
      <c r="M30" s="40"/>
      <c r="N30" s="40"/>
      <c r="O30" s="40"/>
      <c r="P30" s="40"/>
      <c r="Q30" s="40"/>
      <c r="R30" s="40"/>
      <c r="S30" s="40"/>
      <c r="T30" s="40"/>
      <c r="U30" s="40"/>
      <c r="V30" s="40"/>
      <c r="W30" s="40"/>
      <c r="X30" s="40"/>
      <c r="Y30" s="40"/>
      <c r="Z30" s="40"/>
      <c r="AA30" s="40"/>
      <c r="AB30" s="40"/>
      <c r="AC30" s="40"/>
      <c r="AD30" s="40">
        <v>2.5999999999999999E-2</v>
      </c>
      <c r="AE30" s="40">
        <v>5.0999999999999997E-2</v>
      </c>
      <c r="AF30" s="40">
        <v>4.7E-2</v>
      </c>
      <c r="AG30" s="40">
        <v>4.5999999999999999E-2</v>
      </c>
      <c r="AH30" s="40">
        <v>4.5999999999999999E-2</v>
      </c>
      <c r="AI30" s="40">
        <v>0.04</v>
      </c>
      <c r="AJ30" s="40">
        <v>3.9E-2</v>
      </c>
      <c r="AK30" s="40">
        <v>3.5999999999999997E-2</v>
      </c>
      <c r="AL30" s="40">
        <v>3.5000000000000003E-2</v>
      </c>
      <c r="AM30" s="40">
        <v>3.3000000000000002E-2</v>
      </c>
      <c r="AN30" s="40">
        <v>3.1E-2</v>
      </c>
      <c r="AO30" s="40"/>
      <c r="AP30" s="40"/>
      <c r="AQ30" s="40"/>
      <c r="AR30" s="40"/>
      <c r="AS30" s="40"/>
      <c r="AT30" s="40"/>
      <c r="AU30" s="40"/>
      <c r="AV30" s="40"/>
      <c r="AW30" s="40"/>
      <c r="AX30" s="40"/>
      <c r="AY30" s="40"/>
      <c r="AZ30" s="40"/>
      <c r="BA30" s="40"/>
      <c r="BB30" s="40"/>
      <c r="BC30" s="40"/>
      <c r="BD30" s="40"/>
      <c r="BE30" s="103"/>
      <c r="BF30" s="40">
        <v>2.5999999999999999E-2</v>
      </c>
      <c r="BG30" s="40">
        <v>5.0999999999999997E-2</v>
      </c>
      <c r="BH30" s="40">
        <v>4.7E-2</v>
      </c>
      <c r="BI30" s="40">
        <v>4.5999999999999999E-2</v>
      </c>
      <c r="BJ30" s="40">
        <v>4.5999999999999999E-2</v>
      </c>
      <c r="BK30" s="40">
        <v>0.04</v>
      </c>
      <c r="BL30" s="40">
        <v>3.9E-2</v>
      </c>
      <c r="BM30" s="40">
        <v>3.5999999999999997E-2</v>
      </c>
      <c r="BN30" s="40">
        <v>3.5000000000000003E-2</v>
      </c>
      <c r="BO30" s="40">
        <v>3.3000000000000002E-2</v>
      </c>
      <c r="BP30" s="104">
        <v>4.2999999999999997E-2</v>
      </c>
      <c r="BQ30" s="105">
        <v>0.04</v>
      </c>
      <c r="BR30" s="14"/>
      <c r="BS30" s="222"/>
      <c r="BT30" s="50"/>
      <c r="BU30" s="50"/>
      <c r="BV30" s="50"/>
      <c r="BW30" s="50"/>
      <c r="BX30" s="50"/>
      <c r="BY30" s="3"/>
      <c r="BZ30" s="50"/>
      <c r="CA30" s="50"/>
      <c r="CB30" s="50"/>
    </row>
    <row r="31" spans="1:80" ht="15">
      <c r="A31" s="188" t="s">
        <v>217</v>
      </c>
      <c r="B31" s="187" t="s">
        <v>218</v>
      </c>
      <c r="C31" s="40"/>
      <c r="D31" s="40"/>
      <c r="E31" s="40"/>
      <c r="F31" s="40"/>
      <c r="G31" s="40"/>
      <c r="H31" s="40"/>
      <c r="I31" s="40"/>
      <c r="J31" s="40"/>
      <c r="K31" s="40"/>
      <c r="L31" s="40"/>
      <c r="M31" s="40"/>
      <c r="N31" s="40"/>
      <c r="O31" s="40"/>
      <c r="P31" s="40"/>
      <c r="Q31" s="40"/>
      <c r="R31" s="40"/>
      <c r="S31" s="40"/>
      <c r="T31" s="40"/>
      <c r="U31" s="40"/>
      <c r="V31" s="40"/>
      <c r="W31" s="40"/>
      <c r="X31" s="40"/>
      <c r="Y31" s="40"/>
      <c r="Z31" s="40"/>
      <c r="AA31" s="40"/>
      <c r="AB31" s="40"/>
      <c r="AC31" s="40"/>
      <c r="AD31" s="40">
        <v>-0.44800000000000001</v>
      </c>
      <c r="AE31" s="40">
        <v>-1.21</v>
      </c>
      <c r="AF31" s="40">
        <v>-5.2999999999999999E-2</v>
      </c>
      <c r="AG31" s="40">
        <v>6.2E-2</v>
      </c>
      <c r="AH31" s="40">
        <v>1.6E-2</v>
      </c>
      <c r="AI31" s="40">
        <v>3.2000000000000001E-2</v>
      </c>
      <c r="AJ31" s="40">
        <v>3.9E-2</v>
      </c>
      <c r="AK31" s="40">
        <v>3.1E-2</v>
      </c>
      <c r="AL31" s="40">
        <v>2.5999999999999999E-2</v>
      </c>
      <c r="AM31" s="40">
        <v>2.4E-2</v>
      </c>
      <c r="AN31" s="40">
        <v>0</v>
      </c>
      <c r="AO31" s="40"/>
      <c r="AP31" s="40"/>
      <c r="AQ31" s="40"/>
      <c r="AR31" s="40"/>
      <c r="AS31" s="40"/>
      <c r="AT31" s="40"/>
      <c r="AU31" s="40"/>
      <c r="AV31" s="40"/>
      <c r="AW31" s="40"/>
      <c r="AX31" s="40"/>
      <c r="AY31" s="40"/>
      <c r="AZ31" s="40"/>
      <c r="BA31" s="40"/>
      <c r="BB31" s="40"/>
      <c r="BC31" s="40"/>
      <c r="BD31" s="40"/>
      <c r="BE31" s="103"/>
      <c r="BF31" s="40">
        <v>-0.44800000000000001</v>
      </c>
      <c r="BG31" s="40">
        <v>-1.21</v>
      </c>
      <c r="BH31" s="40">
        <v>-5.2999999999999999E-2</v>
      </c>
      <c r="BI31" s="40">
        <v>6.2E-2</v>
      </c>
      <c r="BJ31" s="40">
        <v>1.6E-2</v>
      </c>
      <c r="BK31" s="40">
        <v>3.2000000000000001E-2</v>
      </c>
      <c r="BL31" s="40">
        <v>3.9E-2</v>
      </c>
      <c r="BM31" s="40">
        <v>3.1E-2</v>
      </c>
      <c r="BN31" s="40">
        <v>2.5999999999999999E-2</v>
      </c>
      <c r="BO31" s="40">
        <v>2.4E-2</v>
      </c>
      <c r="BP31" s="104">
        <v>-0.32700000000000001</v>
      </c>
      <c r="BQ31" s="105">
        <v>-0.14799999999999999</v>
      </c>
      <c r="BR31" s="14"/>
      <c r="BS31" s="222"/>
      <c r="BT31" s="50"/>
      <c r="BU31" s="50"/>
      <c r="BV31" s="50"/>
      <c r="BW31" s="50"/>
      <c r="BX31" s="50"/>
      <c r="BY31" s="3"/>
      <c r="BZ31" s="50"/>
      <c r="CA31" s="50"/>
      <c r="CB31" s="50"/>
    </row>
    <row r="32" spans="1:80" ht="15">
      <c r="A32" s="188" t="s">
        <v>219</v>
      </c>
      <c r="B32" s="187" t="s">
        <v>220</v>
      </c>
      <c r="C32" s="40"/>
      <c r="D32" s="40"/>
      <c r="E32" s="40"/>
      <c r="F32" s="40"/>
      <c r="G32" s="40"/>
      <c r="H32" s="40"/>
      <c r="I32" s="40"/>
      <c r="J32" s="40"/>
      <c r="K32" s="40"/>
      <c r="L32" s="40"/>
      <c r="M32" s="40"/>
      <c r="N32" s="40"/>
      <c r="O32" s="40"/>
      <c r="P32" s="40"/>
      <c r="Q32" s="40"/>
      <c r="R32" s="40"/>
      <c r="S32" s="40"/>
      <c r="T32" s="40"/>
      <c r="U32" s="40"/>
      <c r="V32" s="40"/>
      <c r="W32" s="40"/>
      <c r="X32" s="40"/>
      <c r="Y32" s="40"/>
      <c r="Z32" s="40"/>
      <c r="AA32" s="40"/>
      <c r="AB32" s="40"/>
      <c r="AC32" s="40"/>
      <c r="AD32" s="40"/>
      <c r="AE32" s="40">
        <v>-0.26200000000000001</v>
      </c>
      <c r="AF32" s="40">
        <v>3.6999999999999998E-2</v>
      </c>
      <c r="AG32" s="40">
        <v>4.7E-2</v>
      </c>
      <c r="AH32" s="40">
        <v>4.5999999999999999E-2</v>
      </c>
      <c r="AI32" s="40">
        <v>0.14199999999999999</v>
      </c>
      <c r="AJ32" s="40">
        <v>-7.0999999999999994E-2</v>
      </c>
      <c r="AK32" s="40">
        <v>2.5999999999999999E-2</v>
      </c>
      <c r="AL32" s="40">
        <v>2.4E-2</v>
      </c>
      <c r="AM32" s="40">
        <v>1.2999999999999999E-2</v>
      </c>
      <c r="AN32" s="40">
        <v>3.0000000000000001E-3</v>
      </c>
      <c r="AO32" s="40"/>
      <c r="AP32" s="40"/>
      <c r="AQ32" s="40"/>
      <c r="AR32" s="40"/>
      <c r="AS32" s="40"/>
      <c r="AT32" s="40"/>
      <c r="AU32" s="40"/>
      <c r="AV32" s="40"/>
      <c r="AW32" s="40"/>
      <c r="AX32" s="40"/>
      <c r="AY32" s="40"/>
      <c r="AZ32" s="40"/>
      <c r="BA32" s="40"/>
      <c r="BB32" s="40"/>
      <c r="BC32" s="40"/>
      <c r="BD32" s="40"/>
      <c r="BE32" s="103"/>
      <c r="BF32" s="40">
        <v>-0.26200000000000001</v>
      </c>
      <c r="BG32" s="40">
        <v>3.6999999999999998E-2</v>
      </c>
      <c r="BH32" s="40">
        <v>4.7E-2</v>
      </c>
      <c r="BI32" s="40">
        <v>4.5999999999999999E-2</v>
      </c>
      <c r="BJ32" s="40">
        <v>0.14199999999999999</v>
      </c>
      <c r="BK32" s="40">
        <v>-7.0999999999999994E-2</v>
      </c>
      <c r="BL32" s="40">
        <v>2.5999999999999999E-2</v>
      </c>
      <c r="BM32" s="40">
        <v>2.4E-2</v>
      </c>
      <c r="BN32" s="40">
        <v>1.2999999999999999E-2</v>
      </c>
      <c r="BO32" s="40">
        <v>3.0000000000000001E-3</v>
      </c>
      <c r="BP32" s="104">
        <v>2E-3</v>
      </c>
      <c r="BQ32" s="105">
        <v>1E-3</v>
      </c>
      <c r="BR32" s="14"/>
      <c r="BS32" s="222"/>
      <c r="BT32" s="50"/>
      <c r="BU32" s="50"/>
      <c r="BV32" s="50"/>
      <c r="BW32" s="50"/>
      <c r="BX32" s="50"/>
      <c r="BY32" s="3"/>
      <c r="BZ32" s="50"/>
      <c r="CA32" s="50"/>
      <c r="CB32" s="50"/>
    </row>
    <row r="33" spans="1:80" ht="15">
      <c r="A33" s="188" t="s">
        <v>221</v>
      </c>
      <c r="B33" s="187" t="s">
        <v>222</v>
      </c>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v>-0.03</v>
      </c>
      <c r="AF33" s="40">
        <v>-3.5000000000000003E-2</v>
      </c>
      <c r="AG33" s="40">
        <v>-7.0000000000000001E-3</v>
      </c>
      <c r="AH33" s="40">
        <v>6.0000000000000001E-3</v>
      </c>
      <c r="AI33" s="40">
        <v>8.6999999999999994E-2</v>
      </c>
      <c r="AJ33" s="40">
        <v>8.0000000000000002E-3</v>
      </c>
      <c r="AK33" s="40">
        <v>-0.06</v>
      </c>
      <c r="AL33" s="40">
        <v>1.2E-2</v>
      </c>
      <c r="AM33" s="40">
        <v>2.1000000000000001E-2</v>
      </c>
      <c r="AN33" s="40">
        <v>0.05</v>
      </c>
      <c r="AO33" s="40">
        <v>8.9999999999999993E-3</v>
      </c>
      <c r="AP33" s="40"/>
      <c r="AQ33" s="40"/>
      <c r="AR33" s="40"/>
      <c r="AS33" s="40"/>
      <c r="AT33" s="40"/>
      <c r="AU33" s="40"/>
      <c r="AV33" s="40"/>
      <c r="AW33" s="40"/>
      <c r="AX33" s="40"/>
      <c r="AY33" s="40"/>
      <c r="AZ33" s="40"/>
      <c r="BA33" s="40"/>
      <c r="BB33" s="40"/>
      <c r="BC33" s="40"/>
      <c r="BD33" s="40"/>
      <c r="BE33" s="103"/>
      <c r="BF33" s="40">
        <v>-0.03</v>
      </c>
      <c r="BG33" s="40">
        <v>-3.5000000000000003E-2</v>
      </c>
      <c r="BH33" s="40">
        <v>-7.0000000000000001E-3</v>
      </c>
      <c r="BI33" s="40">
        <v>6.0000000000000001E-3</v>
      </c>
      <c r="BJ33" s="40">
        <v>8.6999999999999994E-2</v>
      </c>
      <c r="BK33" s="40">
        <v>8.0000000000000002E-3</v>
      </c>
      <c r="BL33" s="40">
        <v>-0.06</v>
      </c>
      <c r="BM33" s="40">
        <v>1.2E-2</v>
      </c>
      <c r="BN33" s="40">
        <v>2.1000000000000001E-2</v>
      </c>
      <c r="BO33" s="40">
        <v>0.05</v>
      </c>
      <c r="BP33" s="104">
        <v>4.0000000000000001E-3</v>
      </c>
      <c r="BQ33" s="105">
        <v>5.0000000000000001E-3</v>
      </c>
      <c r="BR33" s="14"/>
      <c r="BS33" s="222"/>
      <c r="BT33" s="50"/>
      <c r="BU33" s="50"/>
      <c r="BV33" s="50"/>
      <c r="BW33" s="50"/>
      <c r="BX33" s="50"/>
      <c r="BY33" s="3"/>
      <c r="BZ33" s="50"/>
      <c r="CA33" s="50"/>
      <c r="CB33" s="50"/>
    </row>
    <row r="34" spans="1:80" ht="15">
      <c r="A34" s="188" t="s">
        <v>223</v>
      </c>
      <c r="B34" s="187" t="s">
        <v>224</v>
      </c>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v>-1.7000000000000001E-2</v>
      </c>
      <c r="AF34" s="40">
        <v>2.3E-2</v>
      </c>
      <c r="AG34" s="40">
        <v>2.9000000000000001E-2</v>
      </c>
      <c r="AH34" s="40">
        <v>0.16400000000000001</v>
      </c>
      <c r="AI34" s="40">
        <v>0.32500000000000001</v>
      </c>
      <c r="AJ34" s="40">
        <v>0.35599999999999998</v>
      </c>
      <c r="AK34" s="40">
        <v>0.44400000000000001</v>
      </c>
      <c r="AL34" s="40">
        <v>0.45800000000000002</v>
      </c>
      <c r="AM34" s="40">
        <v>0.46700000000000003</v>
      </c>
      <c r="AN34" s="40">
        <v>0.49</v>
      </c>
      <c r="AO34" s="40">
        <v>0.53900000000000003</v>
      </c>
      <c r="AP34" s="40"/>
      <c r="AQ34" s="40"/>
      <c r="AR34" s="40"/>
      <c r="AS34" s="40"/>
      <c r="AT34" s="40"/>
      <c r="AU34" s="40"/>
      <c r="AV34" s="40"/>
      <c r="AW34" s="40"/>
      <c r="AX34" s="40"/>
      <c r="AY34" s="40"/>
      <c r="AZ34" s="40"/>
      <c r="BA34" s="40"/>
      <c r="BB34" s="40"/>
      <c r="BC34" s="40"/>
      <c r="BD34" s="40"/>
      <c r="BE34" s="103"/>
      <c r="BF34" s="40">
        <v>-1.7000000000000001E-2</v>
      </c>
      <c r="BG34" s="40">
        <v>2.3E-2</v>
      </c>
      <c r="BH34" s="40">
        <v>2.9000000000000001E-2</v>
      </c>
      <c r="BI34" s="40">
        <v>0.16400000000000001</v>
      </c>
      <c r="BJ34" s="40">
        <v>0.32500000000000001</v>
      </c>
      <c r="BK34" s="40">
        <v>0.35599999999999998</v>
      </c>
      <c r="BL34" s="40">
        <v>0.44400000000000001</v>
      </c>
      <c r="BM34" s="40">
        <v>0.45800000000000002</v>
      </c>
      <c r="BN34" s="40">
        <v>0.46700000000000003</v>
      </c>
      <c r="BO34" s="40">
        <v>0.49</v>
      </c>
      <c r="BP34" s="104">
        <v>0.104</v>
      </c>
      <c r="BQ34" s="105">
        <v>0.27400000000000002</v>
      </c>
      <c r="BR34" s="14"/>
      <c r="BS34" s="222"/>
      <c r="BT34" s="50"/>
      <c r="BU34" s="50"/>
      <c r="BV34" s="50"/>
      <c r="BW34" s="50"/>
      <c r="BX34" s="50"/>
      <c r="BY34" s="3"/>
      <c r="BZ34" s="50"/>
      <c r="CA34" s="50"/>
      <c r="CB34" s="50"/>
    </row>
    <row r="35" spans="1:80" ht="15">
      <c r="A35" s="188" t="s">
        <v>225</v>
      </c>
      <c r="B35" s="187" t="s">
        <v>226</v>
      </c>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v>-0.35599999999999998</v>
      </c>
      <c r="AG35" s="40">
        <v>6.2E-2</v>
      </c>
      <c r="AH35" s="40">
        <v>7.6999999999999999E-2</v>
      </c>
      <c r="AI35" s="40">
        <v>5.6000000000000001E-2</v>
      </c>
      <c r="AJ35" s="40">
        <v>0.158</v>
      </c>
      <c r="AK35" s="40">
        <v>-8.4000000000000005E-2</v>
      </c>
      <c r="AL35" s="40">
        <v>2.1999999999999999E-2</v>
      </c>
      <c r="AM35" s="40">
        <v>1.4999999999999999E-2</v>
      </c>
      <c r="AN35" s="40">
        <v>1.0999999999999999E-2</v>
      </c>
      <c r="AO35" s="40">
        <v>1.0999999999999999E-2</v>
      </c>
      <c r="AP35" s="40"/>
      <c r="AQ35" s="40"/>
      <c r="AR35" s="40"/>
      <c r="AS35" s="40"/>
      <c r="AT35" s="40"/>
      <c r="AU35" s="40"/>
      <c r="AV35" s="40"/>
      <c r="AW35" s="40"/>
      <c r="AX35" s="40"/>
      <c r="AY35" s="40"/>
      <c r="AZ35" s="40"/>
      <c r="BA35" s="40"/>
      <c r="BB35" s="40"/>
      <c r="BC35" s="40"/>
      <c r="BD35" s="40"/>
      <c r="BE35" s="103"/>
      <c r="BF35" s="40">
        <v>-0.35599999999999998</v>
      </c>
      <c r="BG35" s="40">
        <v>6.2E-2</v>
      </c>
      <c r="BH35" s="40">
        <v>7.6999999999999999E-2</v>
      </c>
      <c r="BI35" s="40">
        <v>5.6000000000000001E-2</v>
      </c>
      <c r="BJ35" s="40">
        <v>0.158</v>
      </c>
      <c r="BK35" s="40">
        <v>-8.4000000000000005E-2</v>
      </c>
      <c r="BL35" s="40">
        <v>2.1999999999999999E-2</v>
      </c>
      <c r="BM35" s="40">
        <v>1.4999999999999999E-2</v>
      </c>
      <c r="BN35" s="40">
        <v>1.0999999999999999E-2</v>
      </c>
      <c r="BO35" s="40">
        <v>1.0999999999999999E-2</v>
      </c>
      <c r="BP35" s="104">
        <v>-1E-3</v>
      </c>
      <c r="BQ35" s="105">
        <v>-3.0000000000000001E-3</v>
      </c>
      <c r="BR35" s="14"/>
      <c r="BS35" s="222"/>
      <c r="BT35" s="50"/>
      <c r="BU35" s="50"/>
      <c r="BV35" s="50"/>
      <c r="BW35" s="50"/>
      <c r="BX35" s="50"/>
      <c r="BY35" s="3"/>
      <c r="BZ35" s="50"/>
      <c r="CA35" s="50"/>
      <c r="CB35" s="50"/>
    </row>
    <row r="36" spans="1:80" ht="15">
      <c r="A36" s="188" t="s">
        <v>227</v>
      </c>
      <c r="B36" s="187" t="s">
        <v>228</v>
      </c>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c r="AD36" s="40"/>
      <c r="AE36" s="40"/>
      <c r="AF36" s="40">
        <v>-2.2869999999999999</v>
      </c>
      <c r="AG36" s="40">
        <v>-2.1459999999999999</v>
      </c>
      <c r="AH36" s="40">
        <v>-0.48499999999999999</v>
      </c>
      <c r="AI36" s="40">
        <v>3.7999999999999999E-2</v>
      </c>
      <c r="AJ36" s="40">
        <v>9.6000000000000002E-2</v>
      </c>
      <c r="AK36" s="40">
        <v>7.1999999999999995E-2</v>
      </c>
      <c r="AL36" s="40">
        <v>5.1999999999999998E-2</v>
      </c>
      <c r="AM36" s="40">
        <v>3.1E-2</v>
      </c>
      <c r="AN36" s="40">
        <v>1.6E-2</v>
      </c>
      <c r="AO36" s="40">
        <v>8.9999999999999993E-3</v>
      </c>
      <c r="AP36" s="40"/>
      <c r="AQ36" s="40"/>
      <c r="AR36" s="40"/>
      <c r="AS36" s="40"/>
      <c r="AT36" s="40"/>
      <c r="AU36" s="40"/>
      <c r="AV36" s="40"/>
      <c r="AW36" s="40"/>
      <c r="AX36" s="40"/>
      <c r="AY36" s="40"/>
      <c r="AZ36" s="40"/>
      <c r="BA36" s="40"/>
      <c r="BB36" s="40"/>
      <c r="BC36" s="40"/>
      <c r="BD36" s="40"/>
      <c r="BE36" s="103"/>
      <c r="BF36" s="40">
        <v>-2.2869999999999999</v>
      </c>
      <c r="BG36" s="40">
        <v>-2.1459999999999999</v>
      </c>
      <c r="BH36" s="40">
        <v>-0.48499999999999999</v>
      </c>
      <c r="BI36" s="40">
        <v>3.7999999999999999E-2</v>
      </c>
      <c r="BJ36" s="40">
        <v>9.6000000000000002E-2</v>
      </c>
      <c r="BK36" s="40">
        <v>7.1999999999999995E-2</v>
      </c>
      <c r="BL36" s="40">
        <v>5.1999999999999998E-2</v>
      </c>
      <c r="BM36" s="40">
        <v>3.1E-2</v>
      </c>
      <c r="BN36" s="40">
        <v>1.6E-2</v>
      </c>
      <c r="BO36" s="40">
        <v>8.9999999999999993E-3</v>
      </c>
      <c r="BP36" s="104">
        <v>-0.95699999999999996</v>
      </c>
      <c r="BQ36" s="105">
        <v>-0.46</v>
      </c>
      <c r="BR36" s="14"/>
      <c r="BS36" s="222"/>
      <c r="BT36" s="50"/>
      <c r="BU36" s="50"/>
      <c r="BV36" s="50"/>
      <c r="BW36" s="50"/>
      <c r="BX36" s="50"/>
      <c r="BY36" s="3"/>
      <c r="BZ36" s="50"/>
      <c r="CA36" s="50"/>
      <c r="CB36" s="50"/>
    </row>
    <row r="37" spans="1:80" ht="15">
      <c r="A37" s="188" t="s">
        <v>229</v>
      </c>
      <c r="B37" s="187" t="s">
        <v>230</v>
      </c>
      <c r="C37" s="40"/>
      <c r="D37" s="40"/>
      <c r="E37" s="40"/>
      <c r="F37" s="40"/>
      <c r="G37" s="40"/>
      <c r="H37" s="40"/>
      <c r="I37" s="40"/>
      <c r="J37" s="40"/>
      <c r="K37" s="40"/>
      <c r="L37" s="40"/>
      <c r="M37" s="40"/>
      <c r="N37" s="40"/>
      <c r="O37" s="40"/>
      <c r="P37" s="40"/>
      <c r="Q37" s="40"/>
      <c r="R37" s="40"/>
      <c r="S37" s="40"/>
      <c r="T37" s="40"/>
      <c r="U37" s="40"/>
      <c r="V37" s="40"/>
      <c r="W37" s="40"/>
      <c r="X37" s="40"/>
      <c r="Y37" s="40"/>
      <c r="Z37" s="40"/>
      <c r="AA37" s="40"/>
      <c r="AB37" s="40"/>
      <c r="AC37" s="40"/>
      <c r="AD37" s="40"/>
      <c r="AE37" s="40"/>
      <c r="AF37" s="40"/>
      <c r="AG37" s="40">
        <v>-0.11700000000000001</v>
      </c>
      <c r="AH37" s="40">
        <v>-1.2E-2</v>
      </c>
      <c r="AI37" s="40">
        <v>0</v>
      </c>
      <c r="AJ37" s="40">
        <v>0</v>
      </c>
      <c r="AK37" s="40">
        <v>0</v>
      </c>
      <c r="AL37" s="40">
        <v>0</v>
      </c>
      <c r="AM37" s="40">
        <v>0</v>
      </c>
      <c r="AN37" s="40">
        <v>0</v>
      </c>
      <c r="AO37" s="40">
        <v>0</v>
      </c>
      <c r="AP37" s="40">
        <v>0</v>
      </c>
      <c r="AQ37" s="40"/>
      <c r="AR37" s="40"/>
      <c r="AS37" s="40"/>
      <c r="AT37" s="40"/>
      <c r="AU37" s="40"/>
      <c r="AV37" s="40"/>
      <c r="AW37" s="40"/>
      <c r="AX37" s="40"/>
      <c r="AY37" s="40"/>
      <c r="AZ37" s="40"/>
      <c r="BA37" s="40"/>
      <c r="BB37" s="40"/>
      <c r="BC37" s="40"/>
      <c r="BD37" s="40"/>
      <c r="BE37" s="103"/>
      <c r="BF37" s="40">
        <v>-0.11700000000000001</v>
      </c>
      <c r="BG37" s="40">
        <v>-1.2E-2</v>
      </c>
      <c r="BH37" s="40">
        <v>0</v>
      </c>
      <c r="BI37" s="40">
        <v>0</v>
      </c>
      <c r="BJ37" s="40">
        <v>0</v>
      </c>
      <c r="BK37" s="40">
        <v>0</v>
      </c>
      <c r="BL37" s="40">
        <v>0</v>
      </c>
      <c r="BM37" s="40">
        <v>0</v>
      </c>
      <c r="BN37" s="40">
        <v>0</v>
      </c>
      <c r="BO37" s="40">
        <v>0</v>
      </c>
      <c r="BP37" s="104">
        <v>-2.5999999999999999E-2</v>
      </c>
      <c r="BQ37" s="40">
        <v>-1.2999999999999999E-2</v>
      </c>
      <c r="BR37" s="14"/>
      <c r="BS37" s="222"/>
      <c r="BT37" s="50"/>
      <c r="BU37" s="50"/>
      <c r="BV37" s="50"/>
      <c r="BW37" s="50"/>
      <c r="BX37" s="50"/>
      <c r="BY37" s="3"/>
      <c r="BZ37" s="50"/>
      <c r="CA37" s="50"/>
      <c r="CB37" s="50"/>
    </row>
    <row r="38" spans="1:80" ht="15">
      <c r="A38" s="188" t="s">
        <v>231</v>
      </c>
      <c r="B38" s="187" t="s">
        <v>232</v>
      </c>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v>-0.437</v>
      </c>
      <c r="AH38" s="40">
        <v>-0.13600000000000001</v>
      </c>
      <c r="AI38" s="40">
        <v>-0.23899999999999999</v>
      </c>
      <c r="AJ38" s="40">
        <v>2.5999999999999999E-2</v>
      </c>
      <c r="AK38" s="40">
        <v>0.19600000000000001</v>
      </c>
      <c r="AL38" s="40">
        <v>1.9E-2</v>
      </c>
      <c r="AM38" s="40">
        <v>8.0000000000000002E-3</v>
      </c>
      <c r="AN38" s="40">
        <v>-1.0999999999999999E-2</v>
      </c>
      <c r="AO38" s="40">
        <v>3.2000000000000001E-2</v>
      </c>
      <c r="AP38" s="40">
        <v>1.2E-2</v>
      </c>
      <c r="AQ38" s="40">
        <v>1.2999999999999999E-2</v>
      </c>
      <c r="AR38" s="40"/>
      <c r="AS38" s="40"/>
      <c r="AT38" s="40"/>
      <c r="AU38" s="40"/>
      <c r="AV38" s="40"/>
      <c r="AW38" s="40"/>
      <c r="AX38" s="40"/>
      <c r="AY38" s="40"/>
      <c r="AZ38" s="40"/>
      <c r="BA38" s="40"/>
      <c r="BB38" s="40"/>
      <c r="BC38" s="40"/>
      <c r="BD38" s="40"/>
      <c r="BE38" s="103"/>
      <c r="BF38" s="40">
        <v>-0.437</v>
      </c>
      <c r="BG38" s="40">
        <v>-0.13600000000000001</v>
      </c>
      <c r="BH38" s="40">
        <v>-0.23899999999999999</v>
      </c>
      <c r="BI38" s="40">
        <v>2.5999999999999999E-2</v>
      </c>
      <c r="BJ38" s="40">
        <v>0.19600000000000001</v>
      </c>
      <c r="BK38" s="40">
        <v>1.9E-2</v>
      </c>
      <c r="BL38" s="40">
        <v>8.0000000000000002E-3</v>
      </c>
      <c r="BM38" s="40">
        <v>-1.0999999999999999E-2</v>
      </c>
      <c r="BN38" s="40">
        <v>3.2000000000000001E-2</v>
      </c>
      <c r="BO38" s="40">
        <v>1.2E-2</v>
      </c>
      <c r="BP38" s="104">
        <v>-0.11799999999999999</v>
      </c>
      <c r="BQ38" s="40">
        <v>-5.2999999999999999E-2</v>
      </c>
      <c r="BR38" s="14"/>
      <c r="BS38" s="222"/>
      <c r="BT38" s="50"/>
      <c r="BU38" s="50"/>
      <c r="BV38" s="50"/>
      <c r="BW38" s="50"/>
      <c r="BX38" s="50"/>
      <c r="BY38" s="3"/>
      <c r="BZ38" s="50"/>
      <c r="CA38" s="50"/>
      <c r="CB38" s="50"/>
    </row>
    <row r="39" spans="1:80" ht="15">
      <c r="A39" s="188" t="s">
        <v>233</v>
      </c>
      <c r="B39" s="187" t="s">
        <v>234</v>
      </c>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v>-1.677</v>
      </c>
      <c r="AI39" s="40">
        <v>-1.714</v>
      </c>
      <c r="AJ39" s="40">
        <v>-1.512</v>
      </c>
      <c r="AK39" s="40">
        <v>-1.6379999999999999</v>
      </c>
      <c r="AL39" s="40">
        <v>-1.7370000000000001</v>
      </c>
      <c r="AM39" s="40">
        <v>-1.798</v>
      </c>
      <c r="AN39" s="40">
        <v>-1.847</v>
      </c>
      <c r="AO39" s="40">
        <v>-1.9950000000000001</v>
      </c>
      <c r="AP39" s="40">
        <v>-1.998</v>
      </c>
      <c r="AQ39" s="40">
        <v>-1.9430000000000001</v>
      </c>
      <c r="AR39" s="40"/>
      <c r="AS39" s="40"/>
      <c r="AT39" s="40"/>
      <c r="AU39" s="40"/>
      <c r="AV39" s="40"/>
      <c r="AW39" s="40"/>
      <c r="AX39" s="40"/>
      <c r="AY39" s="40"/>
      <c r="AZ39" s="40"/>
      <c r="BA39" s="40"/>
      <c r="BB39" s="40"/>
      <c r="BC39" s="40"/>
      <c r="BD39" s="40"/>
      <c r="BE39" s="103"/>
      <c r="BF39" s="40">
        <v>-1.677</v>
      </c>
      <c r="BG39" s="40">
        <v>-1.714</v>
      </c>
      <c r="BH39" s="40">
        <v>-1.512</v>
      </c>
      <c r="BI39" s="40">
        <v>-1.6379999999999999</v>
      </c>
      <c r="BJ39" s="40">
        <v>-1.7370000000000001</v>
      </c>
      <c r="BK39" s="40">
        <v>-1.798</v>
      </c>
      <c r="BL39" s="40">
        <v>-1.847</v>
      </c>
      <c r="BM39" s="40">
        <v>-1.9950000000000001</v>
      </c>
      <c r="BN39" s="40">
        <v>-1.998</v>
      </c>
      <c r="BO39" s="40">
        <v>-1.9430000000000001</v>
      </c>
      <c r="BP39" s="104">
        <v>-1.6559999999999999</v>
      </c>
      <c r="BQ39" s="40">
        <v>-1.786</v>
      </c>
      <c r="BR39" s="14"/>
      <c r="BS39" s="222"/>
      <c r="BT39" s="50"/>
      <c r="BU39" s="50"/>
      <c r="BV39" s="50"/>
      <c r="BW39" s="50"/>
      <c r="BX39" s="50"/>
      <c r="BY39" s="3"/>
      <c r="BZ39" s="50"/>
      <c r="CA39" s="50"/>
      <c r="CB39" s="50"/>
    </row>
    <row r="40" spans="1:80" ht="15">
      <c r="A40" s="188" t="s">
        <v>235</v>
      </c>
      <c r="B40" s="187" t="s">
        <v>236</v>
      </c>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v>-0.44700000000000001</v>
      </c>
      <c r="AK40" s="40">
        <v>9.9000000000000005E-2</v>
      </c>
      <c r="AL40" s="40">
        <v>5.6000000000000001E-2</v>
      </c>
      <c r="AM40" s="40">
        <v>3.5999999999999997E-2</v>
      </c>
      <c r="AN40" s="40">
        <v>2.3E-2</v>
      </c>
      <c r="AO40" s="40">
        <v>7.0000000000000001E-3</v>
      </c>
      <c r="AP40" s="40">
        <v>1E-3</v>
      </c>
      <c r="AQ40" s="40">
        <v>-3.0000000000000001E-3</v>
      </c>
      <c r="AR40" s="40">
        <v>-5.0000000000000001E-3</v>
      </c>
      <c r="AS40" s="40">
        <v>-4.0000000000000001E-3</v>
      </c>
      <c r="AT40" s="40"/>
      <c r="AU40" s="40"/>
      <c r="AV40" s="40"/>
      <c r="AW40" s="40"/>
      <c r="AX40" s="40"/>
      <c r="AY40" s="40"/>
      <c r="AZ40" s="40"/>
      <c r="BA40" s="40"/>
      <c r="BB40" s="40"/>
      <c r="BC40" s="40"/>
      <c r="BD40" s="40"/>
      <c r="BE40" s="103"/>
      <c r="BF40" s="40">
        <v>-0.44700000000000001</v>
      </c>
      <c r="BG40" s="40">
        <v>9.9000000000000005E-2</v>
      </c>
      <c r="BH40" s="40">
        <v>5.6000000000000001E-2</v>
      </c>
      <c r="BI40" s="40">
        <v>3.5999999999999997E-2</v>
      </c>
      <c r="BJ40" s="40">
        <v>2.3E-2</v>
      </c>
      <c r="BK40" s="40">
        <v>7.0000000000000001E-3</v>
      </c>
      <c r="BL40" s="40">
        <v>1E-3</v>
      </c>
      <c r="BM40" s="40">
        <v>-3.0000000000000001E-3</v>
      </c>
      <c r="BN40" s="40">
        <v>-5.0000000000000001E-3</v>
      </c>
      <c r="BO40" s="40">
        <v>-4.0000000000000001E-3</v>
      </c>
      <c r="BP40" s="104">
        <v>-4.7E-2</v>
      </c>
      <c r="BQ40" s="40">
        <v>-2.4E-2</v>
      </c>
      <c r="BR40" s="14"/>
      <c r="BS40" s="222"/>
      <c r="BT40" s="50"/>
      <c r="BU40" s="50"/>
      <c r="BV40" s="50"/>
      <c r="BW40" s="50"/>
      <c r="BX40" s="50"/>
      <c r="BY40" s="3"/>
      <c r="BZ40" s="50"/>
      <c r="CA40" s="50"/>
      <c r="CB40" s="50"/>
    </row>
    <row r="41" spans="1:80" ht="15">
      <c r="A41" s="188" t="s">
        <v>237</v>
      </c>
      <c r="B41" s="187" t="s">
        <v>238</v>
      </c>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v>0.11899999999999999</v>
      </c>
      <c r="AL41" s="40">
        <v>1.7000000000000001E-2</v>
      </c>
      <c r="AM41" s="40">
        <v>0.02</v>
      </c>
      <c r="AN41" s="40">
        <v>1.9E-2</v>
      </c>
      <c r="AO41" s="40">
        <v>2.1000000000000001E-2</v>
      </c>
      <c r="AP41" s="40">
        <v>2.1000000000000001E-2</v>
      </c>
      <c r="AQ41" s="40">
        <v>0.02</v>
      </c>
      <c r="AR41" s="40">
        <v>0.02</v>
      </c>
      <c r="AS41" s="40">
        <v>2.1000000000000001E-2</v>
      </c>
      <c r="AT41" s="40">
        <v>2.1000000000000001E-2</v>
      </c>
      <c r="AU41" s="40"/>
      <c r="AV41" s="40"/>
      <c r="AW41" s="40"/>
      <c r="AX41" s="40"/>
      <c r="AY41" s="40"/>
      <c r="AZ41" s="40"/>
      <c r="BA41" s="40"/>
      <c r="BB41" s="40"/>
      <c r="BC41" s="40"/>
      <c r="BD41" s="40"/>
      <c r="BE41" s="103"/>
      <c r="BF41" s="40">
        <v>0.11899999999999999</v>
      </c>
      <c r="BG41" s="40">
        <v>1.7000000000000001E-2</v>
      </c>
      <c r="BH41" s="40">
        <v>0.02</v>
      </c>
      <c r="BI41" s="40">
        <v>1.9E-2</v>
      </c>
      <c r="BJ41" s="40">
        <v>2.1000000000000001E-2</v>
      </c>
      <c r="BK41" s="40">
        <v>2.1000000000000001E-2</v>
      </c>
      <c r="BL41" s="40">
        <v>0.02</v>
      </c>
      <c r="BM41" s="40">
        <v>0.02</v>
      </c>
      <c r="BN41" s="40">
        <v>2.1000000000000001E-2</v>
      </c>
      <c r="BO41" s="40">
        <v>2.1000000000000001E-2</v>
      </c>
      <c r="BP41" s="104">
        <v>3.9E-2</v>
      </c>
      <c r="BQ41" s="40">
        <v>0.03</v>
      </c>
      <c r="BR41" s="14"/>
      <c r="BS41" s="222"/>
      <c r="BT41" s="50"/>
      <c r="BU41" s="50"/>
      <c r="BV41" s="50"/>
      <c r="BW41" s="50"/>
      <c r="BX41" s="50"/>
      <c r="BY41" s="3"/>
      <c r="BZ41" s="50"/>
      <c r="CA41" s="50"/>
      <c r="CB41" s="50"/>
    </row>
    <row r="42" spans="1:80" ht="15">
      <c r="A42" s="188" t="s">
        <v>239</v>
      </c>
      <c r="B42" s="187" t="s">
        <v>240</v>
      </c>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v>-0.83699999999999997</v>
      </c>
      <c r="AL42" s="40">
        <v>-0.49199999999999999</v>
      </c>
      <c r="AM42" s="40">
        <v>-0.33100000000000002</v>
      </c>
      <c r="AN42" s="40">
        <v>-0.25900000000000001</v>
      </c>
      <c r="AO42" s="40">
        <v>-7.8E-2</v>
      </c>
      <c r="AP42" s="40">
        <v>-6.0000000000000001E-3</v>
      </c>
      <c r="AQ42" s="40">
        <v>-6.9000000000000006E-2</v>
      </c>
      <c r="AR42" s="40">
        <v>-0.105</v>
      </c>
      <c r="AS42" s="40">
        <v>-0.13300000000000001</v>
      </c>
      <c r="AT42" s="40">
        <v>-0.14899999999999999</v>
      </c>
      <c r="AU42" s="40"/>
      <c r="AV42" s="40"/>
      <c r="AW42" s="40"/>
      <c r="AX42" s="40"/>
      <c r="AY42" s="40"/>
      <c r="AZ42" s="40"/>
      <c r="BA42" s="40"/>
      <c r="BB42" s="40"/>
      <c r="BC42" s="40"/>
      <c r="BD42" s="40"/>
      <c r="BE42" s="103"/>
      <c r="BF42" s="40">
        <v>-0.83699999999999997</v>
      </c>
      <c r="BG42" s="40">
        <v>-0.49199999999999999</v>
      </c>
      <c r="BH42" s="40">
        <v>-0.33100000000000002</v>
      </c>
      <c r="BI42" s="40">
        <v>-0.25900000000000001</v>
      </c>
      <c r="BJ42" s="40">
        <v>-7.8E-2</v>
      </c>
      <c r="BK42" s="40">
        <v>-6.0000000000000001E-3</v>
      </c>
      <c r="BL42" s="40">
        <v>-6.9000000000000006E-2</v>
      </c>
      <c r="BM42" s="40">
        <v>-0.105</v>
      </c>
      <c r="BN42" s="40">
        <v>-0.13300000000000001</v>
      </c>
      <c r="BO42" s="40">
        <v>-0.14899999999999999</v>
      </c>
      <c r="BP42" s="104">
        <v>-0.4</v>
      </c>
      <c r="BQ42" s="40">
        <v>-0.246</v>
      </c>
      <c r="BR42" s="14"/>
      <c r="BS42" s="222"/>
      <c r="BT42" s="50"/>
      <c r="BU42" s="50"/>
      <c r="BV42" s="50"/>
      <c r="BW42" s="50"/>
      <c r="BX42" s="50"/>
      <c r="BY42" s="3"/>
      <c r="BZ42" s="50"/>
      <c r="CA42" s="50"/>
      <c r="CB42" s="50"/>
    </row>
    <row r="43" spans="1:80" ht="28.25" customHeight="1">
      <c r="A43" s="188" t="s">
        <v>241</v>
      </c>
      <c r="B43" s="187" t="s">
        <v>242</v>
      </c>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v>-0.70599999999999996</v>
      </c>
      <c r="AN43" s="40">
        <v>-1.2729999999999999</v>
      </c>
      <c r="AO43" s="40">
        <v>-1.204</v>
      </c>
      <c r="AP43" s="40">
        <v>-1.0189999999999999</v>
      </c>
      <c r="AQ43" s="40">
        <v>-0.78100000000000003</v>
      </c>
      <c r="AR43" s="40">
        <v>-0.59799999999999998</v>
      </c>
      <c r="AS43" s="40">
        <v>-0.51400000000000001</v>
      </c>
      <c r="AT43" s="40">
        <v>-0.48199999999999998</v>
      </c>
      <c r="AU43" s="40">
        <v>-0.193</v>
      </c>
      <c r="AV43" s="40">
        <v>-5.8999999999999997E-2</v>
      </c>
      <c r="AW43" s="40"/>
      <c r="AX43" s="40"/>
      <c r="AY43" s="40"/>
      <c r="AZ43" s="40"/>
      <c r="BA43" s="40"/>
      <c r="BB43" s="40"/>
      <c r="BC43" s="40"/>
      <c r="BD43" s="40"/>
      <c r="BE43" s="103"/>
      <c r="BF43" s="40">
        <v>-0.70599999999999996</v>
      </c>
      <c r="BG43" s="40">
        <v>-1.2729999999999999</v>
      </c>
      <c r="BH43" s="40">
        <v>-1.204</v>
      </c>
      <c r="BI43" s="40">
        <v>-1.0189999999999999</v>
      </c>
      <c r="BJ43" s="40">
        <v>-0.78100000000000003</v>
      </c>
      <c r="BK43" s="40">
        <v>-0.59799999999999998</v>
      </c>
      <c r="BL43" s="40">
        <v>-0.51400000000000001</v>
      </c>
      <c r="BM43" s="40">
        <v>-0.48199999999999998</v>
      </c>
      <c r="BN43" s="40">
        <v>-0.193</v>
      </c>
      <c r="BO43" s="40">
        <v>-5.8999999999999997E-2</v>
      </c>
      <c r="BP43" s="104">
        <v>-0.997</v>
      </c>
      <c r="BQ43" s="40">
        <v>-0.68300000000000005</v>
      </c>
      <c r="BR43" s="14"/>
      <c r="BS43" s="222"/>
      <c r="BT43" s="50"/>
      <c r="BU43" s="50"/>
      <c r="BV43" s="50"/>
      <c r="BW43" s="50"/>
      <c r="BX43" s="50"/>
      <c r="BY43" s="3"/>
      <c r="BZ43" s="50"/>
      <c r="CA43" s="50"/>
      <c r="CB43" s="50"/>
    </row>
    <row r="44" spans="1:80" ht="15">
      <c r="A44" s="188" t="s">
        <v>243</v>
      </c>
      <c r="B44" s="187" t="s">
        <v>244</v>
      </c>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v>-0.16200000000000001</v>
      </c>
      <c r="AP44" s="40">
        <v>-0.115</v>
      </c>
      <c r="AQ44" s="40">
        <v>-0.109</v>
      </c>
      <c r="AR44" s="40">
        <v>-0.122</v>
      </c>
      <c r="AS44" s="40">
        <v>-0.126</v>
      </c>
      <c r="AT44" s="40">
        <v>-0.14099999999999999</v>
      </c>
      <c r="AU44" s="40">
        <v>-0.14299999999999999</v>
      </c>
      <c r="AV44" s="40">
        <v>-0.156</v>
      </c>
      <c r="AW44" s="40">
        <v>-0.16500000000000001</v>
      </c>
      <c r="AX44" s="40">
        <v>-0.182</v>
      </c>
      <c r="AY44" s="40"/>
      <c r="AZ44" s="40"/>
      <c r="BA44" s="40"/>
      <c r="BB44" s="40"/>
      <c r="BC44" s="40"/>
      <c r="BD44" s="40"/>
      <c r="BE44" s="103"/>
      <c r="BF44" s="40">
        <v>-0.16200000000000001</v>
      </c>
      <c r="BG44" s="40">
        <v>-0.115</v>
      </c>
      <c r="BH44" s="40">
        <v>-0.109</v>
      </c>
      <c r="BI44" s="40">
        <v>-0.122</v>
      </c>
      <c r="BJ44" s="40">
        <v>-0.126</v>
      </c>
      <c r="BK44" s="40">
        <v>-0.14099999999999999</v>
      </c>
      <c r="BL44" s="40">
        <v>-0.14299999999999999</v>
      </c>
      <c r="BM44" s="40">
        <v>-0.156</v>
      </c>
      <c r="BN44" s="40">
        <v>-0.16500000000000001</v>
      </c>
      <c r="BO44" s="40">
        <v>-0.182</v>
      </c>
      <c r="BP44" s="104">
        <v>-0.127</v>
      </c>
      <c r="BQ44" s="40">
        <v>-0.14199999999999999</v>
      </c>
      <c r="BR44" s="14"/>
      <c r="BS44" s="222"/>
      <c r="BT44" s="50"/>
      <c r="BU44" s="50"/>
      <c r="BV44" s="50"/>
      <c r="BW44" s="50"/>
      <c r="BX44" s="50"/>
      <c r="BY44" s="3"/>
      <c r="BZ44" s="50"/>
      <c r="CA44" s="50"/>
      <c r="CB44" s="50"/>
    </row>
    <row r="45" spans="1:80" ht="15">
      <c r="A45" s="188" t="s">
        <v>245</v>
      </c>
      <c r="B45" s="187" t="s">
        <v>246</v>
      </c>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v>-0.41699999999999998</v>
      </c>
      <c r="AP45" s="40">
        <v>-6.8000000000000005E-2</v>
      </c>
      <c r="AQ45" s="40">
        <v>0</v>
      </c>
      <c r="AR45" s="40">
        <v>0</v>
      </c>
      <c r="AS45" s="40">
        <v>0</v>
      </c>
      <c r="AT45" s="40">
        <v>0</v>
      </c>
      <c r="AU45" s="40">
        <v>0</v>
      </c>
      <c r="AV45" s="40">
        <v>0</v>
      </c>
      <c r="AW45" s="40">
        <v>0</v>
      </c>
      <c r="AX45" s="40">
        <v>0</v>
      </c>
      <c r="AY45" s="40">
        <v>0</v>
      </c>
      <c r="AZ45" s="44"/>
      <c r="BA45" s="44"/>
      <c r="BB45" s="44"/>
      <c r="BC45" s="40"/>
      <c r="BD45" s="40"/>
      <c r="BE45" s="103"/>
      <c r="BF45" s="40">
        <v>-0.41699999999999998</v>
      </c>
      <c r="BG45" s="40">
        <v>-6.8000000000000005E-2</v>
      </c>
      <c r="BH45" s="40">
        <v>0</v>
      </c>
      <c r="BI45" s="40">
        <v>0</v>
      </c>
      <c r="BJ45" s="40">
        <v>0</v>
      </c>
      <c r="BK45" s="40">
        <v>0</v>
      </c>
      <c r="BL45" s="40">
        <v>0</v>
      </c>
      <c r="BM45" s="40">
        <v>0</v>
      </c>
      <c r="BN45" s="40">
        <v>0</v>
      </c>
      <c r="BO45" s="40">
        <v>0</v>
      </c>
      <c r="BP45" s="104">
        <v>-9.7000000000000003E-2</v>
      </c>
      <c r="BQ45" s="40">
        <v>-4.8000000000000001E-2</v>
      </c>
      <c r="BR45" s="14"/>
      <c r="BS45" s="222"/>
      <c r="BT45" s="50"/>
      <c r="BU45" s="50"/>
      <c r="BV45" s="50"/>
      <c r="BW45" s="50"/>
      <c r="BX45" s="50"/>
      <c r="BY45" s="3"/>
      <c r="BZ45" s="50"/>
      <c r="CA45" s="50"/>
      <c r="CB45" s="50"/>
    </row>
    <row r="46" spans="1:80" ht="15">
      <c r="A46" s="188" t="s">
        <v>247</v>
      </c>
      <c r="B46" s="187" t="s">
        <v>248</v>
      </c>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v>-2.0619999999999998</v>
      </c>
      <c r="AP46" s="40">
        <v>-1.044</v>
      </c>
      <c r="AQ46" s="40">
        <v>0.69199999999999995</v>
      </c>
      <c r="AR46" s="40">
        <v>0.63200000000000001</v>
      </c>
      <c r="AS46" s="40">
        <v>0.03</v>
      </c>
      <c r="AT46" s="40">
        <v>4.1000000000000002E-2</v>
      </c>
      <c r="AU46" s="40">
        <v>3.7999999999999999E-2</v>
      </c>
      <c r="AV46" s="40">
        <v>2.3E-2</v>
      </c>
      <c r="AW46" s="40">
        <v>1.4999999999999999E-2</v>
      </c>
      <c r="AX46" s="40">
        <v>5.0000000000000001E-3</v>
      </c>
      <c r="AY46" s="40">
        <v>6.0000000000000001E-3</v>
      </c>
      <c r="AZ46" s="40"/>
      <c r="BA46" s="40"/>
      <c r="BB46" s="40"/>
      <c r="BC46" s="40"/>
      <c r="BD46" s="40"/>
      <c r="BE46" s="103"/>
      <c r="BF46" s="40">
        <v>-2.0619999999999998</v>
      </c>
      <c r="BG46" s="40">
        <v>-1.044</v>
      </c>
      <c r="BH46" s="40">
        <v>0.69199999999999995</v>
      </c>
      <c r="BI46" s="40">
        <v>0.63200000000000001</v>
      </c>
      <c r="BJ46" s="40">
        <v>0.03</v>
      </c>
      <c r="BK46" s="40">
        <v>4.1000000000000002E-2</v>
      </c>
      <c r="BL46" s="40">
        <v>3.7999999999999999E-2</v>
      </c>
      <c r="BM46" s="40">
        <v>2.3E-2</v>
      </c>
      <c r="BN46" s="40">
        <v>1.4999999999999999E-2</v>
      </c>
      <c r="BO46" s="40">
        <v>5.0000000000000001E-3</v>
      </c>
      <c r="BP46" s="104">
        <v>-0.35099999999999998</v>
      </c>
      <c r="BQ46" s="40">
        <v>-0.16300000000000001</v>
      </c>
      <c r="BR46" s="14"/>
      <c r="BS46" s="222"/>
      <c r="BT46" s="50"/>
      <c r="BU46" s="50"/>
      <c r="BV46" s="50"/>
      <c r="BW46" s="50"/>
      <c r="BX46" s="50"/>
      <c r="BY46" s="3"/>
      <c r="BZ46" s="50"/>
      <c r="CA46" s="50"/>
      <c r="CB46" s="50"/>
    </row>
    <row r="47" spans="1:80" ht="15">
      <c r="A47" s="188" t="s">
        <v>249</v>
      </c>
      <c r="B47" s="187" t="s">
        <v>250</v>
      </c>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c r="AP47" s="40">
        <v>-0.17100000000000001</v>
      </c>
      <c r="AQ47" s="40">
        <v>-9.0999999999999998E-2</v>
      </c>
      <c r="AR47" s="40">
        <v>-4.5999999999999999E-2</v>
      </c>
      <c r="AS47" s="40">
        <v>-4.4999999999999998E-2</v>
      </c>
      <c r="AT47" s="40">
        <v>-4.2000000000000003E-2</v>
      </c>
      <c r="AU47" s="40">
        <v>-2.7E-2</v>
      </c>
      <c r="AV47" s="40">
        <v>-2.3E-2</v>
      </c>
      <c r="AW47" s="40">
        <v>-2.3E-2</v>
      </c>
      <c r="AX47" s="40">
        <v>-2.4E-2</v>
      </c>
      <c r="AY47" s="40">
        <v>-2.5000000000000001E-2</v>
      </c>
      <c r="AZ47" s="40"/>
      <c r="BA47" s="40"/>
      <c r="BB47" s="40"/>
      <c r="BC47" s="40"/>
      <c r="BD47" s="40"/>
      <c r="BE47" s="103"/>
      <c r="BF47" s="40">
        <v>-0.17100000000000001</v>
      </c>
      <c r="BG47" s="40">
        <v>-9.0999999999999998E-2</v>
      </c>
      <c r="BH47" s="40">
        <v>-4.5999999999999999E-2</v>
      </c>
      <c r="BI47" s="40">
        <v>-4.4999999999999998E-2</v>
      </c>
      <c r="BJ47" s="40">
        <v>-4.2000000000000003E-2</v>
      </c>
      <c r="BK47" s="40">
        <v>-2.7E-2</v>
      </c>
      <c r="BL47" s="40">
        <v>-2.3E-2</v>
      </c>
      <c r="BM47" s="40">
        <v>-2.3E-2</v>
      </c>
      <c r="BN47" s="40">
        <v>-2.4E-2</v>
      </c>
      <c r="BO47" s="40">
        <v>-2.5000000000000001E-2</v>
      </c>
      <c r="BP47" s="104">
        <v>-7.9000000000000001E-2</v>
      </c>
      <c r="BQ47" s="40">
        <v>-5.1999999999999998E-2</v>
      </c>
      <c r="BR47" s="14"/>
      <c r="BS47" s="222"/>
      <c r="BT47" s="50"/>
      <c r="BU47" s="50"/>
      <c r="BV47" s="50"/>
      <c r="BW47" s="50"/>
      <c r="BX47" s="50"/>
      <c r="BY47" s="3"/>
      <c r="BZ47" s="50"/>
      <c r="CA47" s="50"/>
      <c r="CB47" s="50"/>
    </row>
    <row r="48" spans="1:80" ht="15">
      <c r="A48" s="188" t="s">
        <v>251</v>
      </c>
      <c r="B48" s="187" t="s">
        <v>252</v>
      </c>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c r="AP48" s="40">
        <v>-0.34799999999999998</v>
      </c>
      <c r="AQ48" s="40">
        <v>-0.21199999999999999</v>
      </c>
      <c r="AR48" s="40">
        <v>4.0000000000000001E-3</v>
      </c>
      <c r="AS48" s="40">
        <v>1.4E-2</v>
      </c>
      <c r="AT48" s="40">
        <v>1.6E-2</v>
      </c>
      <c r="AU48" s="40">
        <v>7.4999999999999997E-2</v>
      </c>
      <c r="AV48" s="40">
        <v>5.7000000000000002E-2</v>
      </c>
      <c r="AW48" s="40">
        <v>2.1000000000000001E-2</v>
      </c>
      <c r="AX48" s="40">
        <v>0.02</v>
      </c>
      <c r="AY48" s="40">
        <v>1.9E-2</v>
      </c>
      <c r="AZ48" s="40">
        <v>1.7000000000000001E-2</v>
      </c>
      <c r="BA48" s="40"/>
      <c r="BB48" s="40"/>
      <c r="BC48" s="40"/>
      <c r="BD48" s="40"/>
      <c r="BE48" s="103"/>
      <c r="BF48" s="40">
        <v>-0.34799999999999998</v>
      </c>
      <c r="BG48" s="40">
        <v>-0.21199999999999999</v>
      </c>
      <c r="BH48" s="40">
        <v>4.0000000000000001E-3</v>
      </c>
      <c r="BI48" s="40">
        <v>1.4E-2</v>
      </c>
      <c r="BJ48" s="40">
        <v>1.6E-2</v>
      </c>
      <c r="BK48" s="40">
        <v>7.4999999999999997E-2</v>
      </c>
      <c r="BL48" s="40">
        <v>5.7000000000000002E-2</v>
      </c>
      <c r="BM48" s="40">
        <v>2.1000000000000001E-2</v>
      </c>
      <c r="BN48" s="40">
        <v>0.02</v>
      </c>
      <c r="BO48" s="40">
        <v>1.9E-2</v>
      </c>
      <c r="BP48" s="104">
        <v>-0.105</v>
      </c>
      <c r="BQ48" s="40">
        <v>-3.3000000000000002E-2</v>
      </c>
      <c r="BR48" s="14"/>
      <c r="BS48" s="222"/>
      <c r="BT48" s="50"/>
      <c r="BU48" s="50"/>
      <c r="BV48" s="50"/>
      <c r="BW48" s="50"/>
      <c r="BX48" s="50"/>
      <c r="BY48" s="3"/>
      <c r="BZ48" s="50"/>
      <c r="CA48" s="50"/>
      <c r="CB48" s="50"/>
    </row>
    <row r="49" spans="1:80" ht="15">
      <c r="A49" s="188" t="s">
        <v>253</v>
      </c>
      <c r="B49" s="187" t="s">
        <v>254</v>
      </c>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c r="AP49" s="40"/>
      <c r="AQ49" s="40"/>
      <c r="AR49" s="40">
        <v>0.112</v>
      </c>
      <c r="AS49" s="40">
        <v>6.9000000000000006E-2</v>
      </c>
      <c r="AT49" s="40">
        <v>1.2999999999999999E-2</v>
      </c>
      <c r="AU49" s="40">
        <v>-1.2999999999999999E-2</v>
      </c>
      <c r="AV49" s="40">
        <v>6.2E-2</v>
      </c>
      <c r="AW49" s="40">
        <v>8.3000000000000004E-2</v>
      </c>
      <c r="AX49" s="40">
        <v>0.03</v>
      </c>
      <c r="AY49" s="40">
        <v>0</v>
      </c>
      <c r="AZ49" s="40">
        <v>-4.0000000000000001E-3</v>
      </c>
      <c r="BA49" s="40">
        <v>-0.01</v>
      </c>
      <c r="BB49" s="40"/>
      <c r="BC49" s="40"/>
      <c r="BD49" s="40"/>
      <c r="BE49" s="103"/>
      <c r="BF49" s="40">
        <v>0.112</v>
      </c>
      <c r="BG49" s="40">
        <v>6.9000000000000006E-2</v>
      </c>
      <c r="BH49" s="40">
        <v>1.2999999999999999E-2</v>
      </c>
      <c r="BI49" s="40">
        <v>-1.2999999999999999E-2</v>
      </c>
      <c r="BJ49" s="40">
        <v>6.2E-2</v>
      </c>
      <c r="BK49" s="40">
        <v>8.3000000000000004E-2</v>
      </c>
      <c r="BL49" s="40">
        <v>0.03</v>
      </c>
      <c r="BM49" s="75">
        <v>0</v>
      </c>
      <c r="BN49" s="40">
        <v>-4.0000000000000001E-3</v>
      </c>
      <c r="BO49" s="40">
        <v>-0.01</v>
      </c>
      <c r="BP49" s="104">
        <v>4.8000000000000001E-2</v>
      </c>
      <c r="BQ49" s="40">
        <v>3.4000000000000002E-2</v>
      </c>
      <c r="BR49" s="14"/>
      <c r="BS49" s="222"/>
      <c r="BT49" s="50"/>
      <c r="BU49" s="50"/>
      <c r="BV49" s="50"/>
      <c r="BW49" s="50"/>
      <c r="BX49" s="50"/>
      <c r="BY49" s="3"/>
      <c r="BZ49" s="50"/>
      <c r="CA49" s="50"/>
      <c r="CB49" s="50"/>
    </row>
    <row r="50" spans="1:80" ht="15">
      <c r="A50" s="181" t="s">
        <v>255</v>
      </c>
      <c r="B50" s="110" t="s">
        <v>256</v>
      </c>
      <c r="C50" s="48"/>
      <c r="D50" s="48"/>
      <c r="E50" s="48"/>
      <c r="F50" s="48"/>
      <c r="G50" s="48"/>
      <c r="H50" s="48"/>
      <c r="I50" s="48"/>
      <c r="J50" s="48"/>
      <c r="K50" s="48"/>
      <c r="L50" s="48"/>
      <c r="M50" s="48"/>
      <c r="N50" s="48"/>
      <c r="O50" s="48"/>
      <c r="P50" s="48"/>
      <c r="Q50" s="48"/>
      <c r="R50" s="48"/>
      <c r="S50" s="48"/>
      <c r="T50" s="48"/>
      <c r="U50" s="48"/>
      <c r="V50" s="48"/>
      <c r="W50" s="48"/>
      <c r="X50" s="48"/>
      <c r="Y50" s="48"/>
      <c r="Z50" s="48"/>
      <c r="AA50" s="48"/>
      <c r="AB50" s="48"/>
      <c r="AC50" s="48"/>
      <c r="AD50" s="48"/>
      <c r="AE50" s="48"/>
      <c r="AF50" s="48"/>
      <c r="AG50" s="48"/>
      <c r="AH50" s="48"/>
      <c r="AI50" s="48"/>
      <c r="AJ50" s="48"/>
      <c r="AK50" s="48"/>
      <c r="AL50" s="48"/>
      <c r="AM50" s="48"/>
      <c r="AN50" s="48"/>
      <c r="AO50" s="48"/>
      <c r="AP50" s="48"/>
      <c r="AQ50" s="48"/>
      <c r="AR50" s="48"/>
      <c r="AS50" s="48"/>
      <c r="AT50" s="48">
        <v>-0.43099999999999999</v>
      </c>
      <c r="AU50" s="48">
        <v>-1.4430000000000001</v>
      </c>
      <c r="AV50" s="48">
        <v>-1.748</v>
      </c>
      <c r="AW50" s="48">
        <v>-1.6779999999999999</v>
      </c>
      <c r="AX50" s="48">
        <v>-1.46</v>
      </c>
      <c r="AY50" s="48">
        <v>-1.1910000000000001</v>
      </c>
      <c r="AZ50" s="48">
        <v>-1.0629999999999999</v>
      </c>
      <c r="BA50" s="48">
        <v>-1.044</v>
      </c>
      <c r="BB50" s="48">
        <v>-1.071</v>
      </c>
      <c r="BC50" s="48">
        <v>-1.1040000000000001</v>
      </c>
      <c r="BD50" s="48">
        <v>-1.113</v>
      </c>
      <c r="BE50" s="107"/>
      <c r="BF50" s="108">
        <v>-1.4430000000000001</v>
      </c>
      <c r="BG50" s="48">
        <v>-1.748</v>
      </c>
      <c r="BH50" s="48">
        <v>-1.6779999999999999</v>
      </c>
      <c r="BI50" s="48">
        <v>-1.46</v>
      </c>
      <c r="BJ50" s="48">
        <v>-1.1910000000000001</v>
      </c>
      <c r="BK50" s="48">
        <v>-1.0629999999999999</v>
      </c>
      <c r="BL50" s="48">
        <v>-1.044</v>
      </c>
      <c r="BM50" s="48">
        <v>-1.071</v>
      </c>
      <c r="BN50" s="48">
        <v>-1.1040000000000001</v>
      </c>
      <c r="BO50" s="107">
        <v>-1.113</v>
      </c>
      <c r="BP50" s="109">
        <v>-1.504</v>
      </c>
      <c r="BQ50" s="48">
        <v>-1.292</v>
      </c>
      <c r="BR50" s="14"/>
      <c r="BS50" s="222"/>
      <c r="BT50" s="50"/>
      <c r="BU50" s="50"/>
      <c r="BV50" s="50"/>
      <c r="BW50" s="50"/>
      <c r="BX50" s="50"/>
      <c r="BY50" s="3"/>
      <c r="BZ50" s="50"/>
      <c r="CA50" s="50"/>
      <c r="CB50" s="50"/>
    </row>
    <row r="51" spans="1:80">
      <c r="A51" s="73"/>
      <c r="B51" s="73"/>
      <c r="C51" s="158"/>
      <c r="D51" s="158"/>
      <c r="E51" s="158"/>
      <c r="F51" s="158"/>
      <c r="G51" s="158"/>
      <c r="H51" s="158"/>
      <c r="I51" s="158"/>
      <c r="J51" s="158"/>
      <c r="K51" s="158"/>
      <c r="L51" s="158"/>
      <c r="M51" s="158"/>
      <c r="N51" s="158"/>
      <c r="O51" s="158"/>
      <c r="P51" s="158"/>
      <c r="Q51" s="158"/>
      <c r="R51" s="158"/>
      <c r="S51" s="158"/>
      <c r="T51" s="158"/>
      <c r="U51" s="158"/>
      <c r="V51" s="158"/>
      <c r="W51" s="158"/>
      <c r="X51" s="158"/>
      <c r="Y51" s="158"/>
      <c r="Z51" s="158"/>
      <c r="AA51" s="158"/>
      <c r="AB51" s="158"/>
      <c r="AC51" s="158"/>
      <c r="AD51" s="158"/>
      <c r="AE51" s="158"/>
      <c r="AF51" s="158"/>
      <c r="AG51" s="158"/>
      <c r="AH51" s="158"/>
      <c r="AI51" s="158"/>
      <c r="AJ51" s="158"/>
      <c r="AK51" s="158"/>
      <c r="AL51" s="158"/>
      <c r="AM51" s="158"/>
      <c r="AN51" s="158"/>
      <c r="AO51" s="158"/>
      <c r="AP51" s="158"/>
      <c r="AQ51" s="158"/>
      <c r="AR51" s="158"/>
      <c r="AS51" s="158"/>
      <c r="AT51" s="176"/>
      <c r="AU51" s="176"/>
      <c r="AV51" s="176"/>
      <c r="AW51" s="176"/>
      <c r="AX51" s="176"/>
      <c r="AY51" s="176"/>
      <c r="AZ51" s="176"/>
      <c r="BA51" s="176"/>
      <c r="BB51" s="176"/>
      <c r="BC51" s="176"/>
      <c r="BD51" s="176"/>
      <c r="BE51" s="158"/>
      <c r="BF51" s="69"/>
      <c r="BG51" s="69"/>
      <c r="BH51" s="69"/>
      <c r="BI51" s="69"/>
      <c r="BJ51" s="69"/>
      <c r="BK51" s="69"/>
      <c r="BL51" s="69"/>
      <c r="BM51" s="69"/>
      <c r="BN51" s="69"/>
      <c r="BO51" s="69"/>
      <c r="BP51" s="69"/>
      <c r="BQ51" s="73"/>
    </row>
    <row r="52" spans="1:80">
      <c r="A52" s="178" t="s">
        <v>20</v>
      </c>
      <c r="B52" s="73"/>
      <c r="C52" s="158"/>
      <c r="D52" s="158"/>
      <c r="E52" s="158"/>
      <c r="F52" s="158"/>
      <c r="G52" s="158"/>
      <c r="H52" s="158"/>
      <c r="I52" s="158"/>
      <c r="J52" s="158"/>
      <c r="K52" s="158"/>
      <c r="L52" s="158"/>
      <c r="M52" s="158"/>
      <c r="N52" s="158"/>
      <c r="O52" s="158"/>
      <c r="P52" s="158"/>
      <c r="Q52" s="158"/>
      <c r="R52" s="158"/>
      <c r="S52" s="158"/>
      <c r="T52" s="158"/>
      <c r="U52" s="158"/>
      <c r="V52" s="158"/>
      <c r="W52" s="158"/>
      <c r="X52" s="158"/>
      <c r="Y52" s="158"/>
      <c r="Z52" s="158"/>
      <c r="AA52" s="158"/>
      <c r="AB52" s="158"/>
      <c r="AC52" s="158"/>
      <c r="AD52" s="158"/>
      <c r="AE52" s="158"/>
      <c r="AF52" s="158"/>
      <c r="AG52" s="158"/>
      <c r="AH52" s="158"/>
      <c r="AI52" s="158"/>
      <c r="AJ52" s="158"/>
      <c r="AK52" s="158"/>
      <c r="AL52" s="158"/>
      <c r="AM52" s="158"/>
      <c r="AN52" s="158"/>
      <c r="AO52" s="158"/>
      <c r="AP52" s="158"/>
      <c r="AQ52" s="158"/>
      <c r="AR52" s="158"/>
      <c r="AS52" s="158"/>
      <c r="AT52" s="229"/>
      <c r="AU52" s="229"/>
      <c r="AV52" s="229"/>
      <c r="AW52" s="229"/>
      <c r="AX52" s="229"/>
      <c r="AY52" s="229"/>
      <c r="AZ52" s="229"/>
      <c r="BA52" s="229"/>
      <c r="BB52" s="229"/>
      <c r="BC52" s="229"/>
      <c r="BD52" s="229"/>
      <c r="BE52" s="158"/>
      <c r="BF52" s="78"/>
      <c r="BG52" s="69"/>
      <c r="BH52" s="69"/>
      <c r="BI52" s="69"/>
      <c r="BJ52" s="69"/>
      <c r="BK52" s="69"/>
      <c r="BL52" s="69"/>
      <c r="BM52" s="69"/>
      <c r="BN52" s="69"/>
      <c r="BO52" s="78"/>
      <c r="BP52" s="78"/>
      <c r="BQ52" s="73"/>
    </row>
    <row r="53" spans="1:80">
      <c r="A53" s="114" t="s">
        <v>257</v>
      </c>
      <c r="B53" s="73"/>
      <c r="C53" s="112">
        <v>3313.35</v>
      </c>
      <c r="D53" s="112">
        <v>3536</v>
      </c>
      <c r="E53" s="112">
        <v>3949.1750000000002</v>
      </c>
      <c r="F53" s="112">
        <v>4265.125</v>
      </c>
      <c r="G53" s="112">
        <v>4526.25</v>
      </c>
      <c r="H53" s="112">
        <v>4767.6499999999996</v>
      </c>
      <c r="I53" s="112">
        <v>5138.55</v>
      </c>
      <c r="J53" s="112">
        <v>5554.6750000000002</v>
      </c>
      <c r="K53" s="112">
        <v>5898.75</v>
      </c>
      <c r="L53" s="112">
        <v>6093.1750000000002</v>
      </c>
      <c r="M53" s="112">
        <v>6416.25</v>
      </c>
      <c r="N53" s="112">
        <v>6775.3249999999998</v>
      </c>
      <c r="O53" s="112">
        <v>7176.85</v>
      </c>
      <c r="P53" s="112">
        <v>7560.4250000000002</v>
      </c>
      <c r="Q53" s="112">
        <v>7951.3249999999998</v>
      </c>
      <c r="R53" s="112">
        <v>8451.0249999999996</v>
      </c>
      <c r="S53" s="112">
        <v>8930.7999999999993</v>
      </c>
      <c r="T53" s="112">
        <v>9479.625</v>
      </c>
      <c r="U53" s="112">
        <v>10117.075000000001</v>
      </c>
      <c r="V53" s="112">
        <v>10525.725</v>
      </c>
      <c r="W53" s="112">
        <v>10828.875</v>
      </c>
      <c r="X53" s="112">
        <v>11278.75</v>
      </c>
      <c r="Y53" s="112">
        <v>12028.424999999999</v>
      </c>
      <c r="Z53" s="112">
        <v>12839.95</v>
      </c>
      <c r="AA53" s="112">
        <v>13636.75</v>
      </c>
      <c r="AB53" s="112">
        <v>14305.375</v>
      </c>
      <c r="AC53" s="112">
        <v>14796.575000000001</v>
      </c>
      <c r="AD53" s="112">
        <v>14467.3</v>
      </c>
      <c r="AE53" s="112">
        <v>14884.4</v>
      </c>
      <c r="AF53" s="112">
        <v>15466.525</v>
      </c>
      <c r="AG53" s="112">
        <v>16109.424999999999</v>
      </c>
      <c r="AH53" s="112">
        <v>16687.775000000001</v>
      </c>
      <c r="AI53" s="112">
        <v>17428.099999999999</v>
      </c>
      <c r="AJ53" s="112">
        <v>18164.25</v>
      </c>
      <c r="AK53" s="112">
        <v>18641.325000000001</v>
      </c>
      <c r="AL53" s="112">
        <v>19375.174999999999</v>
      </c>
      <c r="AM53" s="15">
        <v>20436.325000000001</v>
      </c>
      <c r="AN53" s="15">
        <v>21286.15</v>
      </c>
      <c r="AO53" s="15">
        <v>21336.775000000001</v>
      </c>
      <c r="AP53" s="15">
        <v>23044.05</v>
      </c>
      <c r="AQ53" s="15">
        <v>25565.375</v>
      </c>
      <c r="AR53" s="15">
        <v>27397.95</v>
      </c>
      <c r="AS53" s="15">
        <v>28947.9</v>
      </c>
      <c r="AT53" s="15">
        <v>30362.025000000001</v>
      </c>
      <c r="AU53" s="15">
        <v>31902.006000000001</v>
      </c>
      <c r="AV53" s="15">
        <v>33315.186999999998</v>
      </c>
      <c r="AW53" s="113">
        <v>34665.785000000003</v>
      </c>
      <c r="AX53" s="113">
        <v>36010.048999999999</v>
      </c>
      <c r="AY53" s="113">
        <v>37390.673000000003</v>
      </c>
      <c r="AZ53" s="113">
        <v>38812.821000000004</v>
      </c>
      <c r="BA53" s="113">
        <v>40276.527000000002</v>
      </c>
      <c r="BB53" s="113">
        <v>41795.93</v>
      </c>
      <c r="BC53" s="113">
        <v>43373.322999999997</v>
      </c>
      <c r="BD53" s="113">
        <v>45011.5</v>
      </c>
      <c r="BE53" s="113">
        <v>46712.142</v>
      </c>
      <c r="BG53" s="69"/>
      <c r="BH53" s="69"/>
      <c r="BI53" s="69"/>
      <c r="BJ53" s="69"/>
      <c r="BK53" s="69"/>
      <c r="BL53" s="69"/>
      <c r="BM53" s="69"/>
      <c r="BN53" s="69"/>
      <c r="BO53" s="69"/>
      <c r="BP53" s="69"/>
      <c r="BQ53" s="73"/>
    </row>
    <row r="54" spans="1:80">
      <c r="A54" s="114" t="s">
        <v>258</v>
      </c>
      <c r="B54" s="73"/>
      <c r="C54" s="15">
        <v>2028.4749999999999</v>
      </c>
      <c r="D54" s="15">
        <v>2224.875</v>
      </c>
      <c r="E54" s="15">
        <v>2445.0250000000001</v>
      </c>
      <c r="F54" s="15">
        <v>2658.4250000000002</v>
      </c>
      <c r="G54" s="15">
        <v>2842.9250000000002</v>
      </c>
      <c r="H54" s="15">
        <v>3026.75</v>
      </c>
      <c r="I54" s="15">
        <v>3259.1</v>
      </c>
      <c r="J54" s="15">
        <v>3521.9749999999999</v>
      </c>
      <c r="K54" s="15">
        <v>3755.4250000000002</v>
      </c>
      <c r="L54" s="15">
        <v>3910.4250000000002</v>
      </c>
      <c r="M54" s="15">
        <v>4120.7749999999996</v>
      </c>
      <c r="N54" s="15">
        <v>4390.625</v>
      </c>
      <c r="O54" s="15">
        <v>4652.4750000000004</v>
      </c>
      <c r="P54" s="15">
        <v>4905.3500000000004</v>
      </c>
      <c r="Q54" s="15">
        <v>5170.3249999999998</v>
      </c>
      <c r="R54" s="15">
        <v>5459.1</v>
      </c>
      <c r="S54" s="15">
        <v>5786.0749999999998</v>
      </c>
      <c r="T54" s="15">
        <v>6174.0249999999996</v>
      </c>
      <c r="U54" s="15">
        <v>6654.2749999999996</v>
      </c>
      <c r="V54" s="15">
        <v>7006.625</v>
      </c>
      <c r="W54" s="15">
        <v>7277.5249999999996</v>
      </c>
      <c r="X54" s="15">
        <v>7630.65</v>
      </c>
      <c r="Y54" s="15">
        <v>8098.1750000000002</v>
      </c>
      <c r="Z54" s="15">
        <v>8642.375</v>
      </c>
      <c r="AA54" s="15">
        <v>9159.2250000000004</v>
      </c>
      <c r="AB54" s="15">
        <v>9619.15</v>
      </c>
      <c r="AC54" s="15">
        <v>10057.625</v>
      </c>
      <c r="AD54" s="15">
        <v>9866.7000000000007</v>
      </c>
      <c r="AE54" s="15">
        <v>10153.924999999999</v>
      </c>
      <c r="AF54" s="15">
        <v>10604.125</v>
      </c>
      <c r="AG54" s="15">
        <v>10958.25</v>
      </c>
      <c r="AH54" s="15">
        <v>11291.875</v>
      </c>
      <c r="AI54" s="15">
        <v>11741.875</v>
      </c>
      <c r="AJ54" s="15">
        <v>12212</v>
      </c>
      <c r="AK54" s="15">
        <v>12602.2</v>
      </c>
      <c r="AL54" s="15">
        <v>13133.275</v>
      </c>
      <c r="AM54" s="15">
        <v>13797.5</v>
      </c>
      <c r="AN54" s="15">
        <v>14287.1</v>
      </c>
      <c r="AO54" s="15">
        <v>14219.15</v>
      </c>
      <c r="AP54" s="15">
        <v>15603.375</v>
      </c>
      <c r="AQ54" s="15">
        <v>17365.924999999999</v>
      </c>
      <c r="AR54" s="15">
        <v>18563.325000000001</v>
      </c>
      <c r="AS54" s="15">
        <v>19605.825000000001</v>
      </c>
      <c r="AT54" s="15">
        <v>20695.277999999998</v>
      </c>
      <c r="AU54" s="15">
        <v>21671.328000000001</v>
      </c>
      <c r="AV54" s="15">
        <v>22602.044000000002</v>
      </c>
      <c r="AW54" s="15">
        <v>23473.339</v>
      </c>
      <c r="AX54" s="15">
        <v>24365.794000000002</v>
      </c>
      <c r="AY54" s="15">
        <v>25339.144</v>
      </c>
      <c r="AZ54" s="15">
        <v>26353.965</v>
      </c>
      <c r="BA54" s="15">
        <v>27369.46</v>
      </c>
      <c r="BB54" s="15">
        <v>28436.411</v>
      </c>
      <c r="BC54" s="15">
        <v>29571.762999999999</v>
      </c>
      <c r="BD54" s="15">
        <v>30745.433000000001</v>
      </c>
      <c r="BE54" s="15">
        <v>31989.631000000001</v>
      </c>
      <c r="BG54" s="69"/>
      <c r="BH54" s="69"/>
      <c r="BI54" s="69"/>
      <c r="BJ54" s="69"/>
      <c r="BK54" s="69"/>
      <c r="BL54" s="69"/>
      <c r="BM54" s="69"/>
      <c r="BN54" s="69"/>
      <c r="BO54" s="69"/>
      <c r="BP54" s="69"/>
      <c r="BQ54" s="73"/>
    </row>
    <row r="55" spans="1:80">
      <c r="A55" s="114" t="s">
        <v>259</v>
      </c>
      <c r="B55" s="73"/>
      <c r="C55" s="157">
        <v>617.76599999999996</v>
      </c>
      <c r="D55" s="157">
        <v>600.56200000000001</v>
      </c>
      <c r="E55" s="157">
        <v>666.43799999999999</v>
      </c>
      <c r="F55" s="157">
        <v>734.03700000000003</v>
      </c>
      <c r="G55" s="157">
        <v>769.15499999999997</v>
      </c>
      <c r="H55" s="157">
        <v>854.28700000000003</v>
      </c>
      <c r="I55" s="157">
        <v>909.23800000000006</v>
      </c>
      <c r="J55" s="157">
        <v>991.10400000000004</v>
      </c>
      <c r="K55" s="157">
        <v>1031.9580000000001</v>
      </c>
      <c r="L55" s="157">
        <v>1054.9880000000001</v>
      </c>
      <c r="M55" s="157">
        <v>1091.2080000000001</v>
      </c>
      <c r="N55" s="157">
        <v>1154.3340000000001</v>
      </c>
      <c r="O55" s="157">
        <v>1258.566</v>
      </c>
      <c r="P55" s="157">
        <v>1351.79</v>
      </c>
      <c r="Q55" s="157">
        <v>1453.0530000000001</v>
      </c>
      <c r="R55" s="157">
        <v>1579.232</v>
      </c>
      <c r="S55" s="157">
        <v>1721.7280000000001</v>
      </c>
      <c r="T55" s="157">
        <v>1827.452</v>
      </c>
      <c r="U55" s="157">
        <v>2025.191</v>
      </c>
      <c r="V55" s="157">
        <v>1991.0820000000001</v>
      </c>
      <c r="W55" s="157">
        <v>1853.136</v>
      </c>
      <c r="X55" s="157">
        <v>1782.3140000000001</v>
      </c>
      <c r="Y55" s="157">
        <v>1880.114</v>
      </c>
      <c r="Z55" s="157">
        <v>2153.6109999999999</v>
      </c>
      <c r="AA55" s="157">
        <v>2406.8690000000001</v>
      </c>
      <c r="AB55" s="157">
        <v>2567.9850000000001</v>
      </c>
      <c r="AC55" s="157">
        <v>2523.991</v>
      </c>
      <c r="AD55" s="157">
        <v>2104.989</v>
      </c>
      <c r="AE55" s="157">
        <v>2162.7060000000001</v>
      </c>
      <c r="AF55" s="157">
        <v>2303.4659999999999</v>
      </c>
      <c r="AG55" s="157">
        <v>2449.9899999999998</v>
      </c>
      <c r="AH55" s="157">
        <v>2775.1060000000002</v>
      </c>
      <c r="AI55" s="157">
        <v>3021.491</v>
      </c>
      <c r="AJ55" s="157">
        <v>3249.89</v>
      </c>
      <c r="AK55" s="157">
        <v>3267.9650000000001</v>
      </c>
      <c r="AL55" s="157">
        <v>3316.1840000000002</v>
      </c>
      <c r="AM55" s="15">
        <v>3329.9070000000002</v>
      </c>
      <c r="AN55" s="15">
        <v>3463.364</v>
      </c>
      <c r="AO55" s="15">
        <v>3421.1640000000002</v>
      </c>
      <c r="AP55" s="15">
        <v>4047.1109999999999</v>
      </c>
      <c r="AQ55" s="15">
        <v>4897.3389999999999</v>
      </c>
      <c r="AR55" s="15">
        <v>4440.9470000000001</v>
      </c>
      <c r="AS55" s="15">
        <v>4918.1040000000003</v>
      </c>
      <c r="AT55" s="15">
        <v>5234.616</v>
      </c>
      <c r="AU55" s="15">
        <v>5595.9160000000002</v>
      </c>
      <c r="AV55" s="15">
        <v>5885.1980000000003</v>
      </c>
      <c r="AW55" s="15">
        <v>6071.4679999999998</v>
      </c>
      <c r="AX55" s="15">
        <v>6319.7889999999998</v>
      </c>
      <c r="AY55" s="15">
        <v>6594.9989999999998</v>
      </c>
      <c r="AZ55" s="15">
        <v>6869.4930000000004</v>
      </c>
      <c r="BA55" s="15">
        <v>7129.6819999999998</v>
      </c>
      <c r="BB55" s="15">
        <v>7391.4759999999997</v>
      </c>
      <c r="BC55" s="15">
        <v>7668.9229999999998</v>
      </c>
      <c r="BD55" s="15">
        <v>7971.8630000000003</v>
      </c>
      <c r="BE55" s="15">
        <v>8300.7549999999992</v>
      </c>
      <c r="BG55" s="69"/>
      <c r="BH55" s="69"/>
      <c r="BI55" s="69"/>
      <c r="BJ55" s="69"/>
      <c r="BK55" s="69"/>
      <c r="BL55" s="69"/>
      <c r="BM55" s="69"/>
      <c r="BN55" s="69"/>
      <c r="BO55" s="69"/>
      <c r="BP55" s="69"/>
      <c r="BQ55" s="73"/>
    </row>
    <row r="56" spans="1:80">
      <c r="A56" s="81"/>
      <c r="B56" s="70"/>
      <c r="C56" s="82"/>
      <c r="D56" s="82"/>
      <c r="E56" s="82"/>
      <c r="F56" s="82"/>
      <c r="G56" s="82"/>
      <c r="H56" s="82"/>
      <c r="I56" s="82"/>
      <c r="J56" s="82"/>
      <c r="K56" s="82"/>
      <c r="L56" s="82"/>
      <c r="M56" s="82"/>
      <c r="N56" s="82"/>
      <c r="O56" s="82"/>
      <c r="P56" s="82"/>
      <c r="Q56" s="82"/>
      <c r="R56" s="82"/>
      <c r="S56" s="82"/>
      <c r="T56" s="82"/>
      <c r="U56" s="82"/>
      <c r="V56" s="82"/>
      <c r="W56" s="82"/>
      <c r="X56" s="82"/>
      <c r="Y56" s="82"/>
      <c r="Z56" s="82"/>
      <c r="AA56" s="82"/>
      <c r="AB56" s="82"/>
      <c r="AC56" s="82"/>
      <c r="AD56" s="82"/>
      <c r="AE56" s="82"/>
      <c r="AF56" s="82"/>
      <c r="AG56" s="82"/>
      <c r="AH56" s="82"/>
      <c r="AI56" s="82"/>
      <c r="AJ56" s="82"/>
      <c r="AK56" s="82"/>
      <c r="AL56" s="82"/>
      <c r="AM56" s="83"/>
      <c r="AN56" s="83"/>
      <c r="AO56" s="83"/>
      <c r="AP56" s="83"/>
      <c r="AQ56" s="83"/>
      <c r="AR56" s="83"/>
      <c r="AS56" s="83"/>
      <c r="AT56" s="83"/>
      <c r="AU56" s="83"/>
      <c r="AV56" s="83"/>
      <c r="AW56" s="83"/>
      <c r="AX56" s="83"/>
      <c r="AY56" s="83"/>
      <c r="AZ56" s="83"/>
      <c r="BA56" s="83"/>
      <c r="BB56" s="83"/>
      <c r="BC56" s="77"/>
      <c r="BD56" s="77"/>
      <c r="BE56" s="77"/>
      <c r="BF56" s="77"/>
      <c r="BG56" s="77"/>
      <c r="BH56" s="77"/>
      <c r="BI56" s="77"/>
      <c r="BJ56" s="77"/>
      <c r="BK56" s="77"/>
      <c r="BL56" s="77"/>
      <c r="BM56" s="77"/>
      <c r="BN56" s="77"/>
      <c r="BO56" s="77"/>
      <c r="BP56" s="77"/>
      <c r="BQ56" s="70"/>
    </row>
    <row r="57" spans="1:80">
      <c r="A57" s="73"/>
      <c r="B57" s="73"/>
      <c r="C57" s="69"/>
      <c r="D57" s="69"/>
      <c r="E57" s="69"/>
      <c r="F57" s="69"/>
      <c r="G57" s="69"/>
      <c r="H57" s="69"/>
      <c r="I57" s="69"/>
      <c r="J57" s="69"/>
      <c r="K57" s="69"/>
      <c r="L57" s="69"/>
      <c r="M57" s="69"/>
      <c r="N57" s="69"/>
      <c r="O57" s="69"/>
      <c r="P57" s="69"/>
      <c r="Q57" s="69"/>
      <c r="R57" s="69"/>
      <c r="S57" s="69"/>
      <c r="T57" s="69"/>
      <c r="U57" s="69"/>
      <c r="V57" s="69"/>
      <c r="W57" s="69"/>
      <c r="X57" s="69"/>
      <c r="Y57" s="69"/>
      <c r="Z57" s="69"/>
      <c r="AA57" s="69"/>
      <c r="AB57" s="69"/>
      <c r="AC57" s="69"/>
      <c r="AD57" s="69"/>
      <c r="AE57" s="69"/>
      <c r="AF57" s="69"/>
      <c r="AG57" s="69"/>
      <c r="AH57" s="69"/>
      <c r="AI57" s="69"/>
      <c r="AJ57" s="69"/>
      <c r="AK57" s="69"/>
      <c r="AL57" s="69"/>
      <c r="AM57" s="69"/>
      <c r="AN57" s="69"/>
      <c r="AO57" s="69"/>
      <c r="AP57" s="69"/>
      <c r="AQ57" s="69"/>
      <c r="AR57" s="69"/>
      <c r="AS57" s="69"/>
      <c r="AT57" s="69"/>
      <c r="AU57" s="69"/>
      <c r="AV57" s="69"/>
      <c r="AW57" s="69"/>
      <c r="AX57" s="69"/>
      <c r="AY57" s="69"/>
      <c r="AZ57" s="69"/>
      <c r="BA57" s="69"/>
      <c r="BB57" s="69"/>
      <c r="BC57" s="69"/>
      <c r="BD57" s="69"/>
      <c r="BE57" s="69"/>
      <c r="BF57" s="69"/>
      <c r="BG57" s="69"/>
      <c r="BH57" s="69"/>
      <c r="BI57" s="69"/>
      <c r="BJ57" s="69"/>
      <c r="BK57" s="69"/>
      <c r="BL57" s="69"/>
      <c r="BM57" s="69"/>
      <c r="BN57" s="69"/>
      <c r="BO57" s="69"/>
      <c r="BP57" s="69"/>
      <c r="BQ57" s="73"/>
    </row>
    <row r="58" spans="1:80">
      <c r="A58" s="4" t="s">
        <v>24</v>
      </c>
      <c r="B58" s="177"/>
      <c r="C58" s="158"/>
      <c r="D58" s="158"/>
      <c r="E58" s="158"/>
      <c r="F58" s="158"/>
      <c r="G58" s="158"/>
      <c r="H58" s="158"/>
      <c r="I58" s="158"/>
      <c r="J58" s="158"/>
      <c r="K58" s="158"/>
      <c r="L58" s="158"/>
      <c r="M58" s="158"/>
      <c r="N58" s="158"/>
      <c r="O58" s="158"/>
      <c r="P58" s="158"/>
      <c r="Q58" s="158"/>
      <c r="R58" s="158"/>
      <c r="S58" s="158"/>
      <c r="T58" s="158"/>
      <c r="U58" s="158"/>
      <c r="V58" s="158"/>
      <c r="W58" s="158"/>
      <c r="X58" s="158"/>
      <c r="Y58" s="158"/>
      <c r="Z58" s="158"/>
      <c r="AA58" s="158"/>
      <c r="AB58" s="158"/>
      <c r="AC58" s="158"/>
      <c r="AD58" s="158"/>
      <c r="AE58" s="158"/>
      <c r="AF58" s="158"/>
      <c r="AG58" s="158"/>
      <c r="AH58" s="158"/>
      <c r="AI58" s="158"/>
      <c r="AJ58" s="158"/>
      <c r="AK58" s="158"/>
      <c r="AL58" s="158"/>
      <c r="AM58" s="158"/>
      <c r="AN58" s="158"/>
      <c r="AO58" s="158"/>
      <c r="AP58" s="176"/>
      <c r="AQ58" s="176"/>
      <c r="AR58" s="176"/>
      <c r="AS58" s="176"/>
      <c r="AT58" s="176"/>
      <c r="AU58" s="176"/>
      <c r="AV58" s="176"/>
      <c r="AW58" s="176"/>
      <c r="AX58" s="176"/>
      <c r="AY58" s="176"/>
      <c r="AZ58" s="176"/>
      <c r="BA58" s="176"/>
      <c r="BB58" s="176"/>
      <c r="BC58" s="176"/>
      <c r="BD58" s="176"/>
      <c r="BE58" s="69"/>
      <c r="BF58" s="69"/>
      <c r="BG58" s="69"/>
      <c r="BH58" s="69"/>
      <c r="BI58" s="69"/>
      <c r="BJ58" s="69"/>
      <c r="BK58" s="69"/>
      <c r="BL58" s="69"/>
      <c r="BM58" s="69"/>
      <c r="BN58" s="69"/>
      <c r="BO58" s="69"/>
      <c r="BP58" s="69"/>
      <c r="BQ58" s="73"/>
    </row>
    <row r="59" spans="1:80" ht="42" customHeight="1">
      <c r="A59" s="262" t="s">
        <v>260</v>
      </c>
      <c r="B59" s="262"/>
      <c r="C59" s="187"/>
      <c r="D59" s="187"/>
      <c r="E59" s="187"/>
      <c r="F59" s="187"/>
      <c r="G59" s="187"/>
      <c r="H59" s="187"/>
      <c r="I59" s="187"/>
      <c r="J59" s="187"/>
      <c r="K59" s="187"/>
      <c r="L59" s="158"/>
      <c r="M59" s="158"/>
      <c r="N59" s="158"/>
      <c r="O59" s="158"/>
      <c r="P59" s="158"/>
      <c r="Q59" s="158"/>
      <c r="R59" s="158"/>
      <c r="S59" s="158"/>
      <c r="T59" s="158"/>
      <c r="U59" s="158"/>
      <c r="V59" s="158"/>
      <c r="W59" s="158"/>
      <c r="X59" s="158"/>
      <c r="Y59" s="158"/>
      <c r="Z59" s="158"/>
      <c r="AA59" s="158"/>
      <c r="AB59" s="158"/>
      <c r="AC59" s="158"/>
      <c r="AD59" s="158"/>
      <c r="AE59" s="158"/>
      <c r="AF59" s="158"/>
      <c r="AG59" s="158"/>
      <c r="AH59" s="158"/>
      <c r="AI59" s="158"/>
      <c r="AJ59" s="158"/>
      <c r="AK59" s="158"/>
      <c r="AL59" s="158"/>
      <c r="AM59" s="158"/>
      <c r="AN59" s="158"/>
      <c r="AO59" s="158"/>
      <c r="AP59" s="176"/>
      <c r="AQ59" s="176"/>
      <c r="AR59" s="176"/>
      <c r="AS59" s="176"/>
      <c r="AT59" s="176"/>
      <c r="AU59" s="176"/>
      <c r="AV59" s="176"/>
      <c r="AW59" s="176"/>
      <c r="AX59" s="176"/>
      <c r="AY59" s="176"/>
      <c r="AZ59" s="176"/>
      <c r="BA59" s="176"/>
      <c r="BB59" s="176"/>
      <c r="BC59" s="176"/>
      <c r="BD59" s="176"/>
      <c r="BE59" s="176"/>
      <c r="BF59" s="176"/>
      <c r="BG59" s="69"/>
      <c r="BH59" s="69"/>
      <c r="BI59" s="69"/>
      <c r="BJ59" s="69"/>
      <c r="BK59" s="69"/>
      <c r="BL59" s="69"/>
      <c r="BM59" s="69"/>
      <c r="BN59" s="69"/>
      <c r="BO59" s="69"/>
      <c r="BP59" s="69"/>
      <c r="BQ59" s="73"/>
    </row>
    <row r="60" spans="1:80" ht="56" customHeight="1">
      <c r="A60" s="262" t="s">
        <v>261</v>
      </c>
      <c r="B60" s="262"/>
      <c r="C60" s="187"/>
      <c r="D60" s="187"/>
      <c r="E60" s="187"/>
      <c r="F60" s="187"/>
      <c r="G60" s="187"/>
      <c r="H60" s="187"/>
      <c r="I60" s="187"/>
      <c r="J60" s="78"/>
      <c r="K60" s="78"/>
      <c r="L60" s="78"/>
      <c r="M60" s="78"/>
      <c r="N60" s="78"/>
      <c r="O60" s="78"/>
      <c r="P60" s="78"/>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c r="AY60" s="78"/>
      <c r="AZ60" s="78"/>
      <c r="BA60" s="78"/>
      <c r="BB60" s="78"/>
      <c r="BC60" s="69"/>
      <c r="BD60" s="69"/>
      <c r="BE60" s="69"/>
      <c r="BF60" s="69"/>
      <c r="BG60" s="69"/>
      <c r="BH60" s="69"/>
      <c r="BI60" s="69"/>
      <c r="BJ60" s="69"/>
      <c r="BK60" s="69"/>
      <c r="BL60" s="69"/>
      <c r="BM60" s="69"/>
      <c r="BN60" s="69"/>
      <c r="BO60" s="69"/>
      <c r="BP60" s="69"/>
      <c r="BQ60" s="73"/>
    </row>
    <row r="61" spans="1:80" s="190" customFormat="1" ht="42" customHeight="1">
      <c r="A61" s="254" t="s">
        <v>262</v>
      </c>
      <c r="B61" s="254"/>
      <c r="C61" s="254"/>
      <c r="D61" s="254"/>
      <c r="E61" s="254"/>
      <c r="F61" s="254"/>
      <c r="G61" s="254"/>
      <c r="H61" s="254"/>
      <c r="I61" s="254"/>
      <c r="J61" s="115"/>
      <c r="K61" s="115"/>
      <c r="L61" s="115"/>
      <c r="M61" s="115"/>
      <c r="N61" s="115"/>
      <c r="O61" s="115"/>
      <c r="P61" s="115"/>
      <c r="Q61" s="115"/>
      <c r="R61" s="115"/>
      <c r="S61" s="115"/>
      <c r="T61" s="115"/>
      <c r="U61" s="115"/>
      <c r="V61" s="115"/>
      <c r="W61" s="115"/>
      <c r="X61" s="115"/>
      <c r="Y61" s="115"/>
      <c r="Z61" s="115"/>
      <c r="AA61" s="115"/>
      <c r="AB61" s="115"/>
      <c r="AC61" s="115"/>
      <c r="AD61" s="115"/>
      <c r="AE61" s="115"/>
      <c r="AF61" s="115"/>
      <c r="AG61" s="115"/>
      <c r="AH61" s="115"/>
      <c r="AI61" s="115"/>
      <c r="AJ61" s="115"/>
      <c r="AK61" s="115"/>
      <c r="AL61" s="115"/>
      <c r="AM61" s="115"/>
      <c r="AN61" s="115"/>
      <c r="AO61" s="115"/>
      <c r="AP61" s="115"/>
      <c r="AQ61" s="115"/>
      <c r="AR61" s="115"/>
      <c r="AS61" s="115"/>
      <c r="AT61" s="115"/>
      <c r="AU61" s="115"/>
      <c r="AV61" s="115"/>
      <c r="AW61" s="115"/>
      <c r="AX61" s="115"/>
      <c r="AY61" s="115"/>
      <c r="AZ61" s="115"/>
      <c r="BA61" s="115"/>
      <c r="BB61" s="115"/>
      <c r="BC61" s="115"/>
      <c r="BD61" s="115"/>
      <c r="BE61" s="115"/>
      <c r="BF61" s="115"/>
      <c r="BG61" s="115"/>
      <c r="BH61" s="115"/>
      <c r="BI61" s="115"/>
      <c r="BJ61" s="115"/>
      <c r="BK61" s="115"/>
      <c r="BL61" s="115"/>
      <c r="BM61" s="115"/>
      <c r="BN61" s="115"/>
      <c r="BO61" s="115"/>
      <c r="BP61" s="115"/>
      <c r="BQ61" s="115"/>
    </row>
    <row r="62" spans="1:80">
      <c r="A62" s="70"/>
      <c r="B62" s="70"/>
      <c r="C62" s="77"/>
      <c r="D62" s="77"/>
      <c r="E62" s="77"/>
      <c r="F62" s="77"/>
      <c r="G62" s="77"/>
      <c r="H62" s="77"/>
      <c r="I62" s="77"/>
      <c r="J62" s="77"/>
      <c r="K62" s="77"/>
      <c r="L62" s="77"/>
      <c r="M62" s="77"/>
      <c r="N62" s="77"/>
      <c r="O62" s="77"/>
      <c r="P62" s="77"/>
      <c r="Q62" s="77"/>
      <c r="R62" s="77"/>
      <c r="S62" s="77"/>
      <c r="T62" s="77"/>
      <c r="U62" s="77"/>
      <c r="V62" s="77"/>
      <c r="W62" s="77"/>
      <c r="X62" s="77"/>
      <c r="Y62" s="77"/>
      <c r="Z62" s="77"/>
      <c r="AA62" s="77"/>
      <c r="AB62" s="77"/>
      <c r="AC62" s="226"/>
      <c r="AD62" s="226"/>
      <c r="AE62" s="226"/>
      <c r="AF62" s="226"/>
      <c r="AG62" s="226"/>
      <c r="AH62" s="226"/>
      <c r="AI62" s="226"/>
      <c r="AJ62" s="226"/>
      <c r="AK62" s="226"/>
      <c r="AL62" s="226"/>
      <c r="AM62" s="226"/>
      <c r="AN62" s="77"/>
      <c r="AO62" s="77"/>
      <c r="AP62" s="77"/>
      <c r="AQ62" s="77"/>
      <c r="AR62" s="77"/>
      <c r="AS62" s="77"/>
      <c r="AT62" s="77"/>
      <c r="AU62" s="77"/>
      <c r="AV62" s="77"/>
      <c r="AW62" s="77"/>
      <c r="AX62" s="77"/>
      <c r="AY62" s="77"/>
      <c r="AZ62" s="77"/>
      <c r="BA62" s="77"/>
      <c r="BB62" s="77"/>
      <c r="BC62" s="77"/>
      <c r="BD62" s="77"/>
      <c r="BE62" s="77"/>
      <c r="BF62" s="77"/>
      <c r="BG62" s="77"/>
      <c r="BH62" s="77"/>
      <c r="BI62" s="77"/>
      <c r="BJ62" s="77"/>
      <c r="BK62" s="77"/>
      <c r="BL62" s="77"/>
      <c r="BM62" s="77"/>
      <c r="BN62" s="77"/>
      <c r="BO62" s="77"/>
      <c r="BP62" s="77"/>
      <c r="BQ62" s="77"/>
    </row>
    <row r="64" spans="1:80">
      <c r="A64" s="263" t="s">
        <v>25</v>
      </c>
      <c r="B64" s="263"/>
      <c r="C64" s="263"/>
      <c r="D64" s="263"/>
      <c r="E64" s="263"/>
      <c r="F64" s="263"/>
    </row>
  </sheetData>
  <mergeCells count="4">
    <mergeCell ref="A61:I61"/>
    <mergeCell ref="A64:F64"/>
    <mergeCell ref="A60:B60"/>
    <mergeCell ref="A59:B59"/>
  </mergeCells>
  <hyperlinks>
    <hyperlink ref="A64" location="Contents!A1" display="Back to Table of Contents" xr:uid="{A6671B79-2BDB-4919-9F37-C54A6BC28CDC}"/>
    <hyperlink ref="A2" r:id="rId1" xr:uid="{5AAC54E2-FE28-8A4F-9BBD-3B159F4FD68D}"/>
  </hyperlinks>
  <pageMargins left="0.7" right="0.7" top="0.75" bottom="0.75" header="0.3" footer="0.3"/>
  <pageSetup orientation="portrait"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17CC0-D9AC-4274-86AB-374F393354A2}">
  <sheetPr codeName="Sheet10">
    <pageSetUpPr fitToPage="1"/>
  </sheetPr>
  <dimension ref="A1:S61"/>
  <sheetViews>
    <sheetView zoomScaleNormal="100" zoomScaleSheetLayoutView="70" workbookViewId="0"/>
  </sheetViews>
  <sheetFormatPr baseColWidth="10" defaultColWidth="9.5" defaultRowHeight="14"/>
  <cols>
    <col min="1" max="1" width="2.5" style="1" customWidth="1"/>
    <col min="2" max="2" width="117.5" style="1" customWidth="1"/>
    <col min="3" max="3" width="1.5" style="1" customWidth="1"/>
    <col min="4" max="4" width="8.5" style="1" bestFit="1" customWidth="1"/>
    <col min="5" max="5" width="9" style="1" bestFit="1" customWidth="1"/>
    <col min="6" max="10" width="8.5" style="1" bestFit="1" customWidth="1"/>
    <col min="11" max="17" width="9" style="1" bestFit="1" customWidth="1"/>
    <col min="18" max="18" width="10.5" style="1" bestFit="1" customWidth="1"/>
    <col min="19" max="16384" width="9.5" style="1"/>
  </cols>
  <sheetData>
    <row r="1" spans="1:19">
      <c r="A1" s="55" t="s">
        <v>307</v>
      </c>
      <c r="B1" s="55"/>
    </row>
    <row r="2" spans="1:19">
      <c r="A2" s="233" t="s">
        <v>308</v>
      </c>
      <c r="B2" s="233"/>
    </row>
    <row r="3" spans="1:19">
      <c r="A3" s="277"/>
      <c r="B3" s="277"/>
    </row>
    <row r="4" spans="1:19">
      <c r="A4" s="277"/>
      <c r="B4" s="277"/>
    </row>
    <row r="5" spans="1:19">
      <c r="A5" s="260" t="s">
        <v>264</v>
      </c>
      <c r="B5" s="260"/>
      <c r="C5" s="260"/>
      <c r="D5" s="172"/>
      <c r="E5" s="172"/>
      <c r="F5" s="172"/>
      <c r="G5" s="172"/>
      <c r="H5" s="172"/>
      <c r="I5" s="172"/>
      <c r="J5" s="172"/>
      <c r="K5" s="172"/>
      <c r="L5" s="172"/>
      <c r="M5" s="172"/>
      <c r="N5" s="172"/>
      <c r="O5" s="172"/>
      <c r="P5" s="172"/>
      <c r="Q5" s="172"/>
    </row>
    <row r="6" spans="1:19">
      <c r="A6" s="278" t="s">
        <v>3</v>
      </c>
      <c r="B6" s="278"/>
      <c r="C6" s="177"/>
      <c r="D6" s="172"/>
      <c r="E6" s="172"/>
      <c r="F6" s="172"/>
      <c r="G6" s="172"/>
      <c r="H6" s="172"/>
      <c r="I6" s="172"/>
      <c r="J6" s="172"/>
      <c r="K6" s="172"/>
      <c r="L6" s="172"/>
      <c r="M6" s="172"/>
      <c r="N6" s="172"/>
      <c r="O6" s="172"/>
      <c r="P6" s="172"/>
      <c r="Q6" s="172"/>
    </row>
    <row r="7" spans="1:19">
      <c r="A7" s="279"/>
      <c r="B7" s="279"/>
      <c r="C7" s="180"/>
      <c r="D7" s="173"/>
      <c r="E7" s="173"/>
      <c r="F7" s="173"/>
      <c r="G7" s="173"/>
      <c r="H7" s="173"/>
      <c r="I7" s="173"/>
      <c r="J7" s="173"/>
      <c r="K7" s="173"/>
      <c r="L7" s="173"/>
      <c r="M7" s="173"/>
      <c r="N7" s="173"/>
      <c r="O7" s="173"/>
      <c r="P7" s="134"/>
      <c r="Q7" s="134"/>
      <c r="R7" s="134"/>
      <c r="S7" s="134"/>
    </row>
    <row r="8" spans="1:19" ht="15" customHeight="1">
      <c r="A8" s="278"/>
      <c r="B8" s="278"/>
      <c r="C8" s="179"/>
      <c r="D8" s="133">
        <v>2021</v>
      </c>
      <c r="E8" s="133">
        <v>2022</v>
      </c>
      <c r="F8" s="133">
        <v>2023</v>
      </c>
      <c r="G8" s="133">
        <v>2024</v>
      </c>
      <c r="H8" s="133">
        <v>2025</v>
      </c>
      <c r="I8" s="133">
        <v>2026</v>
      </c>
      <c r="J8" s="133">
        <v>2027</v>
      </c>
      <c r="K8" s="133">
        <v>2028</v>
      </c>
      <c r="L8" s="133">
        <v>2029</v>
      </c>
      <c r="M8" s="133">
        <v>2030</v>
      </c>
      <c r="N8" s="133">
        <v>2031</v>
      </c>
      <c r="O8" s="133">
        <v>2032</v>
      </c>
      <c r="P8" s="133">
        <v>2033</v>
      </c>
      <c r="Q8" s="133">
        <v>2034</v>
      </c>
      <c r="R8" s="133">
        <v>2035</v>
      </c>
      <c r="S8" s="133">
        <v>2036</v>
      </c>
    </row>
    <row r="9" spans="1:19">
      <c r="A9" s="280"/>
      <c r="B9" s="280"/>
      <c r="C9" s="177"/>
      <c r="D9" s="16"/>
      <c r="E9" s="16"/>
      <c r="F9" s="16"/>
      <c r="G9" s="16"/>
      <c r="H9" s="16"/>
      <c r="I9" s="16"/>
      <c r="J9" s="16"/>
      <c r="K9" s="16"/>
      <c r="L9" s="16"/>
      <c r="M9" s="16"/>
      <c r="N9" s="16"/>
      <c r="O9" s="16"/>
      <c r="P9" s="16"/>
    </row>
    <row r="10" spans="1:19" ht="17.25" customHeight="1">
      <c r="A10" s="281" t="s">
        <v>296</v>
      </c>
      <c r="B10" s="281"/>
      <c r="C10" s="177"/>
      <c r="D10" s="118">
        <v>3366.8</v>
      </c>
      <c r="E10" s="118">
        <v>3607.3</v>
      </c>
      <c r="F10" s="118">
        <v>3855.2</v>
      </c>
      <c r="G10" s="119">
        <v>4179.2</v>
      </c>
      <c r="H10" s="119">
        <v>4043</v>
      </c>
      <c r="I10" s="119">
        <v>4335.5</v>
      </c>
      <c r="J10" s="119">
        <v>4403.6000000000004</v>
      </c>
      <c r="K10" s="119">
        <v>4422.3</v>
      </c>
      <c r="L10" s="119">
        <v>4580.8</v>
      </c>
      <c r="M10" s="119">
        <v>4712.1000000000004</v>
      </c>
      <c r="N10" s="119">
        <v>4882.6000000000004</v>
      </c>
      <c r="O10" s="119">
        <v>5076.5</v>
      </c>
      <c r="P10" s="119">
        <v>5276.4</v>
      </c>
      <c r="Q10" s="119">
        <v>5490.9</v>
      </c>
      <c r="R10" s="119">
        <v>5717.9</v>
      </c>
      <c r="S10" s="119">
        <v>5950</v>
      </c>
    </row>
    <row r="11" spans="1:19">
      <c r="A11" s="282"/>
      <c r="B11" s="282"/>
      <c r="C11" s="177"/>
      <c r="D11" s="50"/>
      <c r="E11" s="50"/>
      <c r="F11" s="50"/>
      <c r="G11" s="50"/>
      <c r="H11" s="50"/>
      <c r="I11" s="50"/>
      <c r="J11" s="50"/>
      <c r="K11" s="50"/>
      <c r="L11" s="50"/>
      <c r="M11" s="50"/>
      <c r="N11" s="50"/>
      <c r="O11" s="50"/>
      <c r="P11" s="50"/>
      <c r="Q11" s="50"/>
      <c r="R11" s="50"/>
      <c r="S11" s="50"/>
    </row>
    <row r="12" spans="1:19">
      <c r="A12" s="281" t="s">
        <v>290</v>
      </c>
      <c r="B12" s="281"/>
      <c r="C12" s="178"/>
    </row>
    <row r="13" spans="1:19" ht="15" customHeight="1">
      <c r="A13" s="273" t="s">
        <v>265</v>
      </c>
      <c r="B13" s="273"/>
      <c r="C13" s="29"/>
      <c r="D13" s="120">
        <v>-606.29999999999995</v>
      </c>
      <c r="E13" s="120">
        <v>-599.9</v>
      </c>
      <c r="F13" s="121">
        <v>-585.29999999999995</v>
      </c>
      <c r="G13" s="121">
        <v>-622.5</v>
      </c>
      <c r="H13" s="121">
        <v>-660.7</v>
      </c>
      <c r="I13" s="121">
        <v>-698.8</v>
      </c>
      <c r="J13" s="121">
        <v>-715</v>
      </c>
      <c r="K13" s="121">
        <v>-730.5</v>
      </c>
      <c r="L13" s="121">
        <v>-747.6</v>
      </c>
      <c r="M13" s="121">
        <v>-771.8</v>
      </c>
      <c r="N13" s="121">
        <v>-800.7</v>
      </c>
      <c r="O13" s="121">
        <v>-833.1</v>
      </c>
      <c r="P13" s="121">
        <v>-867.6</v>
      </c>
      <c r="Q13" s="121">
        <v>-903.8</v>
      </c>
      <c r="R13" s="121">
        <v>-941.9</v>
      </c>
      <c r="S13" s="121">
        <v>-979.9</v>
      </c>
    </row>
    <row r="14" spans="1:19" ht="15" customHeight="1">
      <c r="A14" s="273" t="s">
        <v>297</v>
      </c>
      <c r="B14" s="273"/>
      <c r="C14" s="29"/>
      <c r="D14" s="120">
        <v>-336.7</v>
      </c>
      <c r="E14" s="120">
        <v>-149.9</v>
      </c>
      <c r="F14" s="121">
        <v>-89</v>
      </c>
      <c r="G14" s="121">
        <v>-162</v>
      </c>
      <c r="H14" s="121">
        <v>-289.7</v>
      </c>
      <c r="I14" s="121">
        <v>-272.7</v>
      </c>
      <c r="J14" s="121">
        <v>-235.3</v>
      </c>
      <c r="K14" s="121">
        <v>-201.4</v>
      </c>
      <c r="L14" s="121">
        <v>-175.8</v>
      </c>
      <c r="M14" s="121">
        <v>-174</v>
      </c>
      <c r="N14" s="121">
        <v>-187.5</v>
      </c>
      <c r="O14" s="121">
        <v>-202.4</v>
      </c>
      <c r="P14" s="121">
        <v>-217</v>
      </c>
      <c r="Q14" s="121">
        <v>-231.1</v>
      </c>
      <c r="R14" s="121">
        <v>-244.9</v>
      </c>
      <c r="S14" s="121">
        <v>-254.7</v>
      </c>
    </row>
    <row r="15" spans="1:19" ht="15" customHeight="1">
      <c r="A15" s="273" t="s">
        <v>266</v>
      </c>
      <c r="B15" s="273"/>
      <c r="C15" s="29"/>
      <c r="D15" s="120">
        <v>-119.6</v>
      </c>
      <c r="E15" s="120">
        <v>-174.4</v>
      </c>
      <c r="F15" s="121">
        <v>-171.3</v>
      </c>
      <c r="G15" s="121">
        <v>-172</v>
      </c>
      <c r="H15" s="121">
        <v>-177.7</v>
      </c>
      <c r="I15" s="121">
        <v>-169.5</v>
      </c>
      <c r="J15" s="121">
        <v>-171</v>
      </c>
      <c r="K15" s="121">
        <v>-173.2</v>
      </c>
      <c r="L15" s="121">
        <v>-181.7</v>
      </c>
      <c r="M15" s="121">
        <v>-187.3</v>
      </c>
      <c r="N15" s="121">
        <v>-193.2</v>
      </c>
      <c r="O15" s="121">
        <v>-199.6</v>
      </c>
      <c r="P15" s="121">
        <v>-206</v>
      </c>
      <c r="Q15" s="121">
        <v>-212.8</v>
      </c>
      <c r="R15" s="121">
        <v>-220</v>
      </c>
      <c r="S15" s="121">
        <v>-227.4</v>
      </c>
    </row>
    <row r="16" spans="1:19" ht="15" customHeight="1">
      <c r="A16" s="273" t="s">
        <v>267</v>
      </c>
      <c r="B16" s="273"/>
      <c r="C16" s="29"/>
      <c r="D16" s="120">
        <v>219.6</v>
      </c>
      <c r="E16" s="120">
        <v>344.9</v>
      </c>
      <c r="F16" s="121">
        <v>347.5</v>
      </c>
      <c r="G16" s="121">
        <v>323.10000000000002</v>
      </c>
      <c r="H16" s="121">
        <v>342.4</v>
      </c>
      <c r="I16" s="121">
        <v>357.7</v>
      </c>
      <c r="J16" s="121">
        <v>363</v>
      </c>
      <c r="K16" s="121">
        <v>367.6</v>
      </c>
      <c r="L16" s="121">
        <v>373.7</v>
      </c>
      <c r="M16" s="121">
        <v>382.9</v>
      </c>
      <c r="N16" s="121">
        <v>394.3</v>
      </c>
      <c r="O16" s="121">
        <v>407.1</v>
      </c>
      <c r="P16" s="121">
        <v>420.8</v>
      </c>
      <c r="Q16" s="121">
        <v>435.3</v>
      </c>
      <c r="R16" s="121">
        <v>450.6</v>
      </c>
      <c r="S16" s="121">
        <v>468.8</v>
      </c>
    </row>
    <row r="17" spans="1:19" ht="15" customHeight="1">
      <c r="A17" s="273" t="s">
        <v>268</v>
      </c>
      <c r="B17" s="273"/>
      <c r="C17" s="29"/>
      <c r="D17" s="120">
        <v>-126.9</v>
      </c>
      <c r="E17" s="120">
        <v>-166</v>
      </c>
      <c r="F17" s="121">
        <v>-163.19999999999999</v>
      </c>
      <c r="G17" s="121">
        <v>-145.30000000000001</v>
      </c>
      <c r="H17" s="121">
        <v>-161.9</v>
      </c>
      <c r="I17" s="121">
        <v>-163.69999999999999</v>
      </c>
      <c r="J17" s="121">
        <v>-173.7</v>
      </c>
      <c r="K17" s="121">
        <v>-183.9</v>
      </c>
      <c r="L17" s="121">
        <v>-194</v>
      </c>
      <c r="M17" s="121">
        <v>-203.9</v>
      </c>
      <c r="N17" s="121">
        <v>-213.4</v>
      </c>
      <c r="O17" s="121">
        <v>-222.1</v>
      </c>
      <c r="P17" s="121">
        <v>-229.5</v>
      </c>
      <c r="Q17" s="121">
        <v>-236.1</v>
      </c>
      <c r="R17" s="121">
        <v>-242.1</v>
      </c>
      <c r="S17" s="121">
        <v>-248.3</v>
      </c>
    </row>
    <row r="18" spans="1:19" ht="15" customHeight="1">
      <c r="A18" s="273" t="s">
        <v>269</v>
      </c>
      <c r="B18" s="273"/>
      <c r="C18" s="29"/>
      <c r="D18" s="120">
        <v>757</v>
      </c>
      <c r="E18" s="120">
        <v>396.1</v>
      </c>
      <c r="F18" s="121">
        <v>308.10000000000002</v>
      </c>
      <c r="G18" s="121">
        <v>490.2</v>
      </c>
      <c r="H18" s="121">
        <v>616.70000000000005</v>
      </c>
      <c r="I18" s="121">
        <v>639.6</v>
      </c>
      <c r="J18" s="121">
        <v>617.6</v>
      </c>
      <c r="K18" s="121">
        <v>586</v>
      </c>
      <c r="L18" s="121">
        <v>576</v>
      </c>
      <c r="M18" s="121">
        <v>578.70000000000005</v>
      </c>
      <c r="N18" s="121">
        <v>589.29999999999995</v>
      </c>
      <c r="O18" s="121">
        <v>604.29999999999995</v>
      </c>
      <c r="P18" s="121">
        <v>622.20000000000005</v>
      </c>
      <c r="Q18" s="121">
        <v>642.5</v>
      </c>
      <c r="R18" s="121">
        <v>664.5</v>
      </c>
      <c r="S18" s="121">
        <v>688.3</v>
      </c>
    </row>
    <row r="19" spans="1:19" ht="15" customHeight="1">
      <c r="A19" s="273" t="s">
        <v>270</v>
      </c>
      <c r="B19" s="273"/>
      <c r="C19" s="29"/>
      <c r="D19" s="120">
        <v>416.8</v>
      </c>
      <c r="E19" s="120">
        <v>454.5</v>
      </c>
      <c r="F19" s="121">
        <v>427</v>
      </c>
      <c r="G19" s="121">
        <v>512.70000000000005</v>
      </c>
      <c r="H19" s="121">
        <v>546.9</v>
      </c>
      <c r="I19" s="121">
        <v>581.1</v>
      </c>
      <c r="J19" s="121">
        <v>595.6</v>
      </c>
      <c r="K19" s="121">
        <v>609.5</v>
      </c>
      <c r="L19" s="121">
        <v>624.9</v>
      </c>
      <c r="M19" s="121">
        <v>646.6</v>
      </c>
      <c r="N19" s="121">
        <v>672.5</v>
      </c>
      <c r="O19" s="121">
        <v>701.7</v>
      </c>
      <c r="P19" s="121">
        <v>732.6</v>
      </c>
      <c r="Q19" s="121">
        <v>765.1</v>
      </c>
      <c r="R19" s="121">
        <v>799.3</v>
      </c>
      <c r="S19" s="121">
        <v>831.5</v>
      </c>
    </row>
    <row r="20" spans="1:19" ht="17.25" customHeight="1">
      <c r="A20" s="273" t="s">
        <v>288</v>
      </c>
      <c r="B20" s="273"/>
      <c r="C20" s="29"/>
      <c r="D20" s="120">
        <v>489.6</v>
      </c>
      <c r="E20" s="120">
        <v>569.29999999999995</v>
      </c>
      <c r="F20" s="121">
        <v>518.9</v>
      </c>
      <c r="G20" s="121">
        <v>476.7</v>
      </c>
      <c r="H20" s="121">
        <v>469.2</v>
      </c>
      <c r="I20" s="121">
        <v>507.7</v>
      </c>
      <c r="J20" s="121">
        <v>500.8</v>
      </c>
      <c r="K20" s="121">
        <v>500.1</v>
      </c>
      <c r="L20" s="121">
        <v>504</v>
      </c>
      <c r="M20" s="121">
        <v>515.29999999999995</v>
      </c>
      <c r="N20" s="121">
        <v>533.5</v>
      </c>
      <c r="O20" s="121">
        <v>556</v>
      </c>
      <c r="P20" s="121">
        <v>581.4</v>
      </c>
      <c r="Q20" s="121">
        <v>611.79999999999995</v>
      </c>
      <c r="R20" s="121">
        <v>643.5</v>
      </c>
      <c r="S20" s="121">
        <v>676.4</v>
      </c>
    </row>
    <row r="21" spans="1:19" ht="15" customHeight="1">
      <c r="A21" s="274" t="s">
        <v>271</v>
      </c>
      <c r="B21" s="274"/>
      <c r="C21" s="29"/>
      <c r="D21" s="120">
        <v>-400.2</v>
      </c>
      <c r="E21" s="120">
        <v>-449.5</v>
      </c>
      <c r="F21" s="121">
        <v>-473.1</v>
      </c>
      <c r="G21" s="121">
        <v>-457.6</v>
      </c>
      <c r="H21" s="121">
        <v>-528.29999999999995</v>
      </c>
      <c r="I21" s="121">
        <v>-588.5</v>
      </c>
      <c r="J21" s="121">
        <v>-572.5</v>
      </c>
      <c r="K21" s="121">
        <v>-567</v>
      </c>
      <c r="L21" s="121">
        <v>-572.4</v>
      </c>
      <c r="M21" s="121">
        <v>-584</v>
      </c>
      <c r="N21" s="121">
        <v>-601.20000000000005</v>
      </c>
      <c r="O21" s="121">
        <v>-622.9</v>
      </c>
      <c r="P21" s="121">
        <v>-650.4</v>
      </c>
      <c r="Q21" s="121">
        <v>-682.4</v>
      </c>
      <c r="R21" s="121">
        <v>-715.8</v>
      </c>
      <c r="S21" s="121">
        <v>-749.6</v>
      </c>
    </row>
    <row r="22" spans="1:19" ht="17.25" customHeight="1">
      <c r="A22" s="273" t="s">
        <v>301</v>
      </c>
      <c r="B22" s="273"/>
      <c r="C22" s="29"/>
      <c r="D22" s="211">
        <v>-272.50000000000023</v>
      </c>
      <c r="E22" s="211">
        <v>193.7</v>
      </c>
      <c r="F22" s="212">
        <v>456.19999999999993</v>
      </c>
      <c r="G22" s="212">
        <v>372.6</v>
      </c>
      <c r="H22" s="212">
        <v>-466.69999999999987</v>
      </c>
      <c r="I22" s="212">
        <v>-385.2000000000001</v>
      </c>
      <c r="J22" s="212">
        <v>-358.7</v>
      </c>
      <c r="K22" s="212">
        <v>-393.40000000000015</v>
      </c>
      <c r="L22" s="212">
        <v>-419.7999999999999</v>
      </c>
      <c r="M22" s="212">
        <v>-445.7000000000001</v>
      </c>
      <c r="N22" s="212">
        <v>-470.19999999999982</v>
      </c>
      <c r="O22" s="212">
        <v>-501.80000000000013</v>
      </c>
      <c r="P22" s="212">
        <v>-529.00000000000011</v>
      </c>
      <c r="Q22" s="212">
        <v>-560.4000000000002</v>
      </c>
      <c r="R22" s="212">
        <v>-592.40000000000009</v>
      </c>
      <c r="S22" s="212">
        <v>-621.19999999999993</v>
      </c>
    </row>
    <row r="23" spans="1:19">
      <c r="A23" s="275" t="s">
        <v>291</v>
      </c>
      <c r="B23" s="275"/>
      <c r="C23" s="31"/>
      <c r="D23" s="122">
        <v>20.8</v>
      </c>
      <c r="E23" s="122">
        <v>418.8</v>
      </c>
      <c r="F23" s="123">
        <v>575.79999999999995</v>
      </c>
      <c r="G23" s="123">
        <v>615.9</v>
      </c>
      <c r="H23" s="123">
        <v>-309.8</v>
      </c>
      <c r="I23" s="123">
        <v>-192.3</v>
      </c>
      <c r="J23" s="123">
        <v>-149.19999999999999</v>
      </c>
      <c r="K23" s="123">
        <v>-186.2</v>
      </c>
      <c r="L23" s="123">
        <v>-212.7</v>
      </c>
      <c r="M23" s="123">
        <v>-243.2</v>
      </c>
      <c r="N23" s="123">
        <v>-276.60000000000002</v>
      </c>
      <c r="O23" s="123">
        <v>-312.8</v>
      </c>
      <c r="P23" s="123">
        <v>-342.5</v>
      </c>
      <c r="Q23" s="123">
        <v>-371.9</v>
      </c>
      <c r="R23" s="123">
        <v>-399.2</v>
      </c>
      <c r="S23" s="123">
        <v>-416.1</v>
      </c>
    </row>
    <row r="24" spans="1:19">
      <c r="A24" s="276"/>
      <c r="B24" s="276"/>
      <c r="C24" s="31"/>
      <c r="D24" s="122"/>
      <c r="E24" s="122"/>
      <c r="F24" s="122"/>
      <c r="G24" s="122"/>
      <c r="H24" s="122"/>
      <c r="I24" s="122"/>
      <c r="J24" s="122"/>
      <c r="K24" s="122"/>
      <c r="L24" s="122"/>
      <c r="M24" s="122"/>
      <c r="N24" s="122"/>
      <c r="O24" s="122"/>
      <c r="P24" s="122"/>
      <c r="Q24" s="122"/>
      <c r="R24" s="122"/>
      <c r="S24" s="122"/>
    </row>
    <row r="25" spans="1:19" ht="17.25" customHeight="1">
      <c r="A25" s="272" t="s">
        <v>292</v>
      </c>
      <c r="B25" s="272"/>
      <c r="D25" s="118">
        <v>3387.6</v>
      </c>
      <c r="E25" s="118">
        <v>4026.1</v>
      </c>
      <c r="F25" s="119">
        <v>4431</v>
      </c>
      <c r="G25" s="119">
        <v>4795.1000000000004</v>
      </c>
      <c r="H25" s="119">
        <v>3733.2</v>
      </c>
      <c r="I25" s="119">
        <v>4143.2</v>
      </c>
      <c r="J25" s="119">
        <v>4254.3999999999996</v>
      </c>
      <c r="K25" s="119">
        <v>4236.1000000000004</v>
      </c>
      <c r="L25" s="119">
        <v>4368.1000000000004</v>
      </c>
      <c r="M25" s="119">
        <v>4468.8999999999996</v>
      </c>
      <c r="N25" s="119">
        <v>4606</v>
      </c>
      <c r="O25" s="119">
        <v>4763.7</v>
      </c>
      <c r="P25" s="119">
        <v>4933.8999999999996</v>
      </c>
      <c r="Q25" s="119">
        <v>5119</v>
      </c>
      <c r="R25" s="119">
        <v>5318.7</v>
      </c>
      <c r="S25" s="119">
        <v>5533.9</v>
      </c>
    </row>
    <row r="26" spans="1:19">
      <c r="A26" s="267"/>
      <c r="B26" s="267"/>
      <c r="D26" s="118"/>
      <c r="E26" s="118"/>
      <c r="F26" s="119"/>
      <c r="G26" s="119"/>
      <c r="H26" s="119"/>
      <c r="I26" s="119"/>
      <c r="J26" s="119"/>
      <c r="K26" s="119"/>
      <c r="L26" s="119"/>
      <c r="M26" s="119"/>
      <c r="N26" s="119"/>
      <c r="O26" s="119"/>
      <c r="P26" s="119"/>
      <c r="Q26" s="119"/>
      <c r="R26" s="119"/>
      <c r="S26" s="119"/>
    </row>
    <row r="27" spans="1:19" ht="17.25" customHeight="1">
      <c r="A27" s="254" t="s">
        <v>293</v>
      </c>
      <c r="B27" s="254"/>
      <c r="D27" s="118">
        <v>4072.9</v>
      </c>
      <c r="E27" s="118">
        <v>4793.8999999999996</v>
      </c>
      <c r="F27" s="119">
        <v>5165.7</v>
      </c>
      <c r="G27" s="119">
        <v>5522.7</v>
      </c>
      <c r="H27" s="119">
        <v>4537.3</v>
      </c>
      <c r="I27" s="119">
        <v>5102.3999999999996</v>
      </c>
      <c r="J27" s="119">
        <v>5233.3</v>
      </c>
      <c r="K27" s="119">
        <v>5212</v>
      </c>
      <c r="L27" s="119">
        <v>5351.4</v>
      </c>
      <c r="M27" s="119">
        <v>5477</v>
      </c>
      <c r="N27" s="119">
        <v>5654.7</v>
      </c>
      <c r="O27" s="119">
        <v>5863</v>
      </c>
      <c r="P27" s="119">
        <v>6090.4</v>
      </c>
      <c r="Q27" s="119">
        <v>6338.5</v>
      </c>
      <c r="R27" s="119">
        <v>6604.2</v>
      </c>
      <c r="S27" s="119">
        <v>6887.8</v>
      </c>
    </row>
    <row r="28" spans="1:19" ht="17.25" customHeight="1">
      <c r="A28" s="268" t="s">
        <v>294</v>
      </c>
      <c r="B28" s="268"/>
      <c r="D28" s="118">
        <v>2580.1</v>
      </c>
      <c r="E28" s="118">
        <v>3307.3</v>
      </c>
      <c r="F28" s="119">
        <v>3288.8</v>
      </c>
      <c r="G28" s="119">
        <v>3547.9</v>
      </c>
      <c r="H28" s="119">
        <v>2612.6</v>
      </c>
      <c r="I28" s="119">
        <v>3125.5</v>
      </c>
      <c r="J28" s="119">
        <v>3234.7</v>
      </c>
      <c r="K28" s="119">
        <v>3197.5</v>
      </c>
      <c r="L28" s="119">
        <v>3285.9</v>
      </c>
      <c r="M28" s="119">
        <v>3354</v>
      </c>
      <c r="N28" s="119">
        <v>3460.3</v>
      </c>
      <c r="O28" s="119">
        <v>3584.8</v>
      </c>
      <c r="P28" s="119">
        <v>3723.2</v>
      </c>
      <c r="Q28" s="119">
        <v>3875.9</v>
      </c>
      <c r="R28" s="119">
        <v>4039.2</v>
      </c>
      <c r="S28" s="119">
        <v>4274</v>
      </c>
    </row>
    <row r="29" spans="1:19" ht="17.25" customHeight="1">
      <c r="A29" s="269" t="s">
        <v>295</v>
      </c>
      <c r="B29" s="269"/>
      <c r="C29" s="133"/>
      <c r="D29" s="124">
        <v>2420.6999999999998</v>
      </c>
      <c r="E29" s="124">
        <v>2878.3</v>
      </c>
      <c r="F29" s="125">
        <v>2961.7</v>
      </c>
      <c r="G29" s="125">
        <v>3283.9</v>
      </c>
      <c r="H29" s="125">
        <v>2617.6999999999998</v>
      </c>
      <c r="I29" s="125">
        <v>3077.9</v>
      </c>
      <c r="J29" s="125">
        <v>3209.1</v>
      </c>
      <c r="K29" s="125">
        <v>3237.3</v>
      </c>
      <c r="L29" s="125">
        <v>3375.7</v>
      </c>
      <c r="M29" s="125">
        <v>3443.2</v>
      </c>
      <c r="N29" s="125">
        <v>3554</v>
      </c>
      <c r="O29" s="125">
        <v>3676.6</v>
      </c>
      <c r="P29" s="125">
        <v>3810.6</v>
      </c>
      <c r="Q29" s="125">
        <v>3955.3</v>
      </c>
      <c r="R29" s="125">
        <v>4107.6000000000004</v>
      </c>
      <c r="S29" s="125">
        <v>4311.5</v>
      </c>
    </row>
    <row r="30" spans="1:19">
      <c r="A30" s="270"/>
      <c r="B30" s="270"/>
      <c r="C30" s="191"/>
      <c r="D30" s="191"/>
      <c r="E30" s="191"/>
      <c r="F30" s="170"/>
      <c r="G30" s="170"/>
      <c r="H30" s="170"/>
      <c r="I30" s="170"/>
      <c r="J30" s="170"/>
      <c r="K30" s="170"/>
      <c r="L30" s="170"/>
      <c r="M30" s="170"/>
      <c r="N30" s="170"/>
      <c r="O30" s="170"/>
      <c r="P30" s="170"/>
      <c r="Q30" s="170"/>
      <c r="R30" s="170"/>
    </row>
    <row r="31" spans="1:19" ht="15" customHeight="1">
      <c r="A31" s="265" t="s">
        <v>272</v>
      </c>
      <c r="B31" s="265"/>
      <c r="C31" s="265"/>
      <c r="D31" s="265"/>
      <c r="E31" s="265"/>
      <c r="F31" s="265"/>
      <c r="G31" s="265"/>
      <c r="H31" s="265"/>
      <c r="I31" s="265"/>
      <c r="J31" s="265"/>
      <c r="K31" s="265"/>
      <c r="L31" s="265"/>
      <c r="M31" s="265"/>
      <c r="N31" s="265"/>
      <c r="O31" s="265"/>
      <c r="P31" s="265"/>
      <c r="Q31" s="265"/>
      <c r="R31" s="265"/>
      <c r="S31" s="265"/>
    </row>
    <row r="32" spans="1:19" ht="15" customHeight="1">
      <c r="A32" s="51"/>
      <c r="B32" s="189"/>
      <c r="D32" s="50"/>
      <c r="E32" s="50"/>
      <c r="F32" s="50"/>
      <c r="G32" s="50"/>
      <c r="H32" s="50"/>
      <c r="I32" s="50"/>
      <c r="J32" s="50"/>
      <c r="K32" s="50"/>
      <c r="L32" s="50"/>
      <c r="M32" s="50"/>
      <c r="N32" s="50"/>
      <c r="O32" s="50"/>
      <c r="P32" s="50"/>
      <c r="Q32" s="50"/>
    </row>
    <row r="33" spans="1:19" ht="14.25" customHeight="1">
      <c r="A33" s="265" t="s">
        <v>273</v>
      </c>
      <c r="B33" s="265"/>
      <c r="C33" s="265"/>
      <c r="D33" s="265"/>
      <c r="E33" s="265"/>
      <c r="F33" s="265"/>
      <c r="G33" s="265"/>
      <c r="H33" s="265"/>
      <c r="I33" s="265"/>
      <c r="J33" s="265"/>
      <c r="K33" s="265"/>
      <c r="L33" s="265"/>
      <c r="M33" s="265"/>
      <c r="N33" s="265"/>
      <c r="O33" s="265"/>
      <c r="P33" s="265"/>
      <c r="Q33" s="265"/>
      <c r="R33" s="265"/>
      <c r="S33" s="265"/>
    </row>
    <row r="34" spans="1:19" ht="14.25" customHeight="1">
      <c r="A34" s="51"/>
      <c r="B34" s="174"/>
    </row>
    <row r="35" spans="1:19" ht="14.25" customHeight="1">
      <c r="A35" s="271" t="s">
        <v>289</v>
      </c>
      <c r="B35" s="271"/>
      <c r="C35" s="271"/>
      <c r="D35" s="271"/>
      <c r="E35" s="271"/>
      <c r="F35" s="271"/>
      <c r="G35" s="271"/>
      <c r="H35" s="271"/>
      <c r="I35" s="271"/>
      <c r="J35" s="271"/>
      <c r="K35" s="271"/>
      <c r="L35" s="271"/>
      <c r="M35" s="271"/>
      <c r="N35" s="271"/>
      <c r="O35" s="271"/>
      <c r="P35" s="271"/>
      <c r="Q35" s="271"/>
      <c r="R35" s="271"/>
      <c r="S35" s="271"/>
    </row>
    <row r="36" spans="1:19" ht="14.25" customHeight="1">
      <c r="A36" s="51"/>
      <c r="B36" s="174"/>
    </row>
    <row r="37" spans="1:19" ht="45" customHeight="1">
      <c r="A37" s="265" t="s">
        <v>274</v>
      </c>
      <c r="B37" s="265"/>
      <c r="C37" s="265"/>
      <c r="D37" s="265"/>
      <c r="E37" s="265"/>
      <c r="F37" s="265"/>
      <c r="G37" s="265"/>
      <c r="H37" s="265"/>
      <c r="I37" s="265"/>
      <c r="J37" s="265"/>
      <c r="K37" s="265"/>
      <c r="L37" s="265"/>
      <c r="M37" s="265"/>
      <c r="N37" s="265"/>
      <c r="O37" s="265"/>
      <c r="P37" s="265"/>
      <c r="Q37" s="265"/>
      <c r="R37" s="265"/>
      <c r="S37" s="265"/>
    </row>
    <row r="38" spans="1:19">
      <c r="A38" s="51"/>
      <c r="B38" s="189"/>
    </row>
    <row r="39" spans="1:19" ht="16" customHeight="1">
      <c r="A39" s="264" t="s">
        <v>275</v>
      </c>
      <c r="B39" s="264"/>
      <c r="C39" s="264"/>
      <c r="D39" s="264"/>
      <c r="E39" s="264"/>
      <c r="F39" s="264"/>
      <c r="G39" s="264"/>
      <c r="H39" s="264"/>
      <c r="I39" s="264"/>
      <c r="J39" s="264"/>
      <c r="K39" s="264"/>
      <c r="L39" s="264"/>
      <c r="M39" s="264"/>
      <c r="N39" s="264"/>
      <c r="O39" s="264"/>
      <c r="P39" s="264"/>
      <c r="Q39" s="264"/>
      <c r="R39" s="264"/>
      <c r="S39" s="264"/>
    </row>
    <row r="40" spans="1:19">
      <c r="A40" s="51"/>
      <c r="B40" s="189"/>
    </row>
    <row r="41" spans="1:19" ht="15" customHeight="1">
      <c r="A41" s="266" t="s">
        <v>276</v>
      </c>
      <c r="B41" s="266"/>
      <c r="C41" s="266"/>
      <c r="D41" s="266"/>
      <c r="E41" s="266"/>
      <c r="F41" s="266"/>
      <c r="G41" s="266"/>
      <c r="H41" s="266"/>
      <c r="I41" s="266"/>
      <c r="J41" s="266"/>
      <c r="K41" s="266"/>
      <c r="L41" s="266"/>
      <c r="M41" s="266"/>
      <c r="N41" s="266"/>
      <c r="O41" s="266"/>
      <c r="P41" s="266"/>
      <c r="Q41" s="266"/>
      <c r="R41" s="266"/>
      <c r="S41" s="266"/>
    </row>
    <row r="42" spans="1:19">
      <c r="A42" s="51"/>
      <c r="B42" s="189"/>
    </row>
    <row r="43" spans="1:19" ht="30" customHeight="1">
      <c r="A43" s="266" t="s">
        <v>277</v>
      </c>
      <c r="B43" s="266"/>
      <c r="C43" s="266"/>
      <c r="D43" s="266"/>
      <c r="E43" s="266"/>
      <c r="F43" s="266"/>
      <c r="G43" s="266"/>
      <c r="H43" s="266"/>
      <c r="I43" s="266"/>
      <c r="J43" s="266"/>
      <c r="K43" s="266"/>
      <c r="L43" s="266"/>
      <c r="M43" s="266"/>
      <c r="N43" s="266"/>
      <c r="O43" s="266"/>
      <c r="P43" s="266"/>
      <c r="Q43" s="266"/>
      <c r="R43" s="266"/>
      <c r="S43" s="266"/>
    </row>
    <row r="44" spans="1:19" ht="17" customHeight="1">
      <c r="A44" s="51"/>
      <c r="B44" s="189"/>
    </row>
    <row r="45" spans="1:19" ht="17" customHeight="1">
      <c r="A45" s="264" t="s">
        <v>302</v>
      </c>
      <c r="B45" s="264"/>
      <c r="C45" s="264"/>
      <c r="D45" s="264"/>
      <c r="E45" s="264"/>
      <c r="F45" s="264"/>
      <c r="G45" s="264"/>
      <c r="H45" s="264"/>
      <c r="I45" s="264"/>
      <c r="J45" s="264"/>
      <c r="K45" s="264"/>
      <c r="L45" s="264"/>
      <c r="M45" s="264"/>
      <c r="N45" s="264"/>
      <c r="O45" s="264"/>
      <c r="P45" s="264"/>
      <c r="Q45" s="264"/>
      <c r="R45" s="264"/>
      <c r="S45" s="264"/>
    </row>
    <row r="46" spans="1:19">
      <c r="A46" s="51"/>
      <c r="B46" s="189"/>
    </row>
    <row r="47" spans="1:19" ht="30" customHeight="1">
      <c r="A47" s="265" t="s">
        <v>303</v>
      </c>
      <c r="B47" s="265"/>
      <c r="C47" s="265"/>
      <c r="D47" s="265"/>
      <c r="E47" s="265"/>
      <c r="F47" s="265"/>
      <c r="G47" s="265"/>
      <c r="H47" s="265"/>
      <c r="I47" s="265"/>
      <c r="J47" s="265"/>
      <c r="K47" s="265"/>
      <c r="L47" s="265"/>
      <c r="M47" s="265"/>
      <c r="N47" s="265"/>
      <c r="O47" s="265"/>
      <c r="P47" s="265"/>
      <c r="Q47" s="265"/>
      <c r="R47" s="265"/>
      <c r="S47" s="265"/>
    </row>
    <row r="48" spans="1:19">
      <c r="A48" s="51"/>
      <c r="B48" s="189"/>
    </row>
    <row r="49" spans="1:19" ht="44" customHeight="1">
      <c r="A49" s="266" t="s">
        <v>304</v>
      </c>
      <c r="B49" s="266"/>
      <c r="C49" s="266"/>
      <c r="D49" s="266"/>
      <c r="E49" s="266"/>
      <c r="F49" s="266"/>
      <c r="G49" s="266"/>
      <c r="H49" s="266"/>
      <c r="I49" s="266"/>
      <c r="J49" s="266"/>
      <c r="K49" s="266"/>
      <c r="L49" s="266"/>
      <c r="M49" s="266"/>
      <c r="N49" s="266"/>
      <c r="O49" s="266"/>
      <c r="P49" s="266"/>
      <c r="Q49" s="266"/>
      <c r="R49" s="266"/>
      <c r="S49" s="266"/>
    </row>
    <row r="50" spans="1:19">
      <c r="A50" s="51"/>
      <c r="B50" s="189"/>
    </row>
    <row r="51" spans="1:19" ht="45" customHeight="1">
      <c r="A51" s="266" t="s">
        <v>306</v>
      </c>
      <c r="B51" s="266"/>
      <c r="C51" s="266"/>
      <c r="D51" s="266"/>
      <c r="E51" s="266"/>
      <c r="F51" s="266"/>
      <c r="G51" s="266"/>
      <c r="H51" s="266"/>
      <c r="I51" s="266"/>
      <c r="J51" s="266"/>
      <c r="K51" s="266"/>
      <c r="L51" s="266"/>
      <c r="M51" s="266"/>
      <c r="N51" s="266"/>
      <c r="O51" s="266"/>
      <c r="P51" s="266"/>
      <c r="Q51" s="266"/>
      <c r="R51" s="266"/>
      <c r="S51" s="266"/>
    </row>
    <row r="52" spans="1:19">
      <c r="A52" s="51"/>
      <c r="B52" s="189"/>
    </row>
    <row r="53" spans="1:19" ht="15" customHeight="1">
      <c r="A53" s="265" t="s">
        <v>305</v>
      </c>
      <c r="B53" s="265"/>
      <c r="C53" s="265"/>
      <c r="D53" s="265"/>
      <c r="E53" s="265"/>
      <c r="F53" s="265"/>
      <c r="G53" s="265"/>
      <c r="H53" s="265"/>
      <c r="I53" s="265"/>
      <c r="J53" s="265"/>
      <c r="K53" s="265"/>
      <c r="L53" s="265"/>
      <c r="M53" s="265"/>
      <c r="N53" s="265"/>
      <c r="O53" s="265"/>
      <c r="P53" s="265"/>
      <c r="Q53" s="265"/>
      <c r="R53" s="265"/>
      <c r="S53" s="265"/>
    </row>
    <row r="54" spans="1:19">
      <c r="A54" s="51"/>
      <c r="B54" s="189"/>
    </row>
    <row r="55" spans="1:19" ht="30" customHeight="1">
      <c r="A55" s="265" t="s">
        <v>300</v>
      </c>
      <c r="B55" s="265"/>
      <c r="C55" s="265"/>
      <c r="D55" s="265"/>
      <c r="E55" s="265"/>
      <c r="F55" s="265"/>
      <c r="G55" s="265"/>
      <c r="H55" s="265"/>
      <c r="I55" s="265"/>
      <c r="J55" s="265"/>
      <c r="K55" s="265"/>
      <c r="L55" s="265"/>
      <c r="M55" s="265"/>
      <c r="N55" s="265"/>
      <c r="O55" s="265"/>
      <c r="P55" s="265"/>
      <c r="Q55" s="265"/>
      <c r="R55" s="265"/>
      <c r="S55" s="265"/>
    </row>
    <row r="56" spans="1:19">
      <c r="A56" s="51"/>
      <c r="B56" s="189"/>
    </row>
    <row r="57" spans="1:19" ht="18.75" customHeight="1">
      <c r="A57" s="265" t="s">
        <v>298</v>
      </c>
      <c r="B57" s="265"/>
      <c r="C57" s="265"/>
      <c r="D57" s="265"/>
      <c r="E57" s="265"/>
      <c r="F57" s="265"/>
      <c r="G57" s="265"/>
      <c r="H57" s="265"/>
      <c r="I57" s="265"/>
      <c r="J57" s="265"/>
      <c r="K57" s="265"/>
      <c r="L57" s="265"/>
      <c r="M57" s="265"/>
      <c r="N57" s="265"/>
      <c r="O57" s="265"/>
      <c r="P57" s="265"/>
      <c r="Q57" s="265"/>
      <c r="R57" s="265"/>
      <c r="S57" s="265"/>
    </row>
    <row r="58" spans="1:19">
      <c r="A58" s="51"/>
      <c r="B58" s="189"/>
    </row>
    <row r="59" spans="1:19" ht="30" customHeight="1">
      <c r="A59" s="264" t="s">
        <v>299</v>
      </c>
      <c r="B59" s="264"/>
      <c r="C59" s="264"/>
      <c r="D59" s="264"/>
      <c r="E59" s="264"/>
      <c r="F59" s="264"/>
      <c r="G59" s="264"/>
      <c r="H59" s="264"/>
      <c r="I59" s="264"/>
      <c r="J59" s="264"/>
      <c r="K59" s="264"/>
      <c r="L59" s="264"/>
      <c r="M59" s="264"/>
      <c r="N59" s="264"/>
      <c r="O59" s="264"/>
      <c r="P59" s="264"/>
      <c r="Q59" s="264"/>
      <c r="R59" s="264"/>
      <c r="S59" s="264"/>
    </row>
    <row r="61" spans="1:19">
      <c r="A61" s="263" t="s">
        <v>25</v>
      </c>
      <c r="B61" s="263"/>
      <c r="C61" s="263"/>
      <c r="D61" s="263"/>
      <c r="E61" s="263"/>
      <c r="F61" s="263"/>
    </row>
  </sheetData>
  <mergeCells count="44">
    <mergeCell ref="A5:C5"/>
    <mergeCell ref="A13:B13"/>
    <mergeCell ref="A3:B3"/>
    <mergeCell ref="A4:B4"/>
    <mergeCell ref="A6:B6"/>
    <mergeCell ref="A7:B7"/>
    <mergeCell ref="A8:B8"/>
    <mergeCell ref="A9:B9"/>
    <mergeCell ref="A10:B10"/>
    <mergeCell ref="A11:B11"/>
    <mergeCell ref="A12:B12"/>
    <mergeCell ref="A25:B25"/>
    <mergeCell ref="A14:B14"/>
    <mergeCell ref="A15:B15"/>
    <mergeCell ref="A16:B16"/>
    <mergeCell ref="A17:B17"/>
    <mergeCell ref="A18:B18"/>
    <mergeCell ref="A19:B19"/>
    <mergeCell ref="A20:B20"/>
    <mergeCell ref="A21:B21"/>
    <mergeCell ref="A22:B22"/>
    <mergeCell ref="A23:B23"/>
    <mergeCell ref="A24:B24"/>
    <mergeCell ref="A45:S45"/>
    <mergeCell ref="A26:B26"/>
    <mergeCell ref="A27:B27"/>
    <mergeCell ref="A28:B28"/>
    <mergeCell ref="A29:B29"/>
    <mergeCell ref="A30:B30"/>
    <mergeCell ref="A31:S31"/>
    <mergeCell ref="A37:S37"/>
    <mergeCell ref="A39:S39"/>
    <mergeCell ref="A41:S41"/>
    <mergeCell ref="A43:S43"/>
    <mergeCell ref="A33:S33"/>
    <mergeCell ref="A35:S35"/>
    <mergeCell ref="A59:S59"/>
    <mergeCell ref="A61:F61"/>
    <mergeCell ref="A47:S47"/>
    <mergeCell ref="A49:S49"/>
    <mergeCell ref="A51:S51"/>
    <mergeCell ref="A53:S53"/>
    <mergeCell ref="A55:S55"/>
    <mergeCell ref="A57:S57"/>
  </mergeCells>
  <hyperlinks>
    <hyperlink ref="A61" location="Contents!A1" display="Back to Table of Contents" xr:uid="{7EF1FEB5-25EB-495A-BF7C-0B7429C62E61}"/>
    <hyperlink ref="A2" r:id="rId1" xr:uid="{C9282FA9-F90E-B142-A531-4141A53E0C2D}"/>
  </hyperlinks>
  <pageMargins left="0.25" right="0.25" top="0.75" bottom="0.75" header="0.3" footer="0.3"/>
  <pageSetup scale="47" orientation="landscape" horizontalDpi="4294967295" verticalDpi="4294967295" r:id="rId2"/>
  <rowBreaks count="1" manualBreakCount="1">
    <brk id="29" max="18"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Contents</vt:lpstr>
      <vt:lpstr>1. Revenue Projections</vt:lpstr>
      <vt:lpstr>2. Baseline Changes</vt:lpstr>
      <vt:lpstr>3.Individual Income Tax Details</vt:lpstr>
      <vt:lpstr>4. Payroll Tax Revenues</vt:lpstr>
      <vt:lpstr>5. Excise Tax Revenues</vt:lpstr>
      <vt:lpstr>6. Capital Gains Realizations</vt:lpstr>
      <vt:lpstr>7a. Legislation (Dollars)</vt:lpstr>
      <vt:lpstr>7b. Legislation (Pct of GDP)</vt:lpstr>
      <vt:lpstr>8. Corporate Profits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2026-02-10T20:23:27Z</dcterms:created>
  <dcterms:modified xsi:type="dcterms:W3CDTF">2026-02-26T17:27:08Z</dcterms:modified>
  <cp:category/>
  <cp:contentStatus/>
</cp:coreProperties>
</file>